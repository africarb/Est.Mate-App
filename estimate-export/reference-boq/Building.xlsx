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com-my.sharepoint.com/personal/irshad_ahmed_aecom_com/Documents/My Stuff/Estimate App/"/>
    </mc:Choice>
  </mc:AlternateContent>
  <xr:revisionPtr revIDLastSave="103" documentId="8_{DB8FBC82-706C-4472-852A-537648CE7225}" xr6:coauthVersionLast="47" xr6:coauthVersionMax="47" xr10:uidLastSave="{E0AD63FB-82C6-4A6B-B16C-D81074E11AD3}"/>
  <bookViews>
    <workbookView xWindow="28680" yWindow="-1635" windowWidth="29040" windowHeight="15720" firstSheet="11" activeTab="16" xr2:uid="{18FB1483-515C-449C-82C5-E1A24D44B607}"/>
  </bookViews>
  <sheets>
    <sheet name="process" sheetId="1" r:id="rId1"/>
    <sheet name="Sheet2" sheetId="6" r:id="rId2"/>
    <sheet name="DIY" sheetId="7" r:id="rId3"/>
    <sheet name="Sheet1" sheetId="5" r:id="rId4"/>
    <sheet name="Look &amp; Feel - Suby" sheetId="21" r:id="rId5"/>
    <sheet name="Look &amp; Feel - Main Page" sheetId="20" r:id="rId6"/>
    <sheet name="Supplier List" sheetId="2" r:id="rId7"/>
    <sheet name="Trades" sheetId="22" r:id="rId8"/>
    <sheet name="Suppliers" sheetId="23" r:id="rId9"/>
    <sheet name="Estimating Platform" sheetId="16" r:id="rId10"/>
    <sheet name="Feasibility" sheetId="3" r:id="rId11"/>
    <sheet name="Brickwork" sheetId="17" r:id="rId12"/>
    <sheet name="Sub-Contractor" sheetId="9" r:id="rId13"/>
    <sheet name="Sub Contractor Labour" sheetId="15" r:id="rId14"/>
    <sheet name="Supplier - Saint Gobain" sheetId="8" r:id="rId15"/>
    <sheet name="Back End Suby " sheetId="19" r:id="rId16"/>
    <sheet name="Back End Supplier" sheetId="18" r:id="rId17"/>
    <sheet name="Sheet3" sheetId="14" r:id="rId18"/>
    <sheet name="Supplier - KBAC" sheetId="13" r:id="rId19"/>
    <sheet name="Function" sheetId="11" r:id="rId20"/>
    <sheet name="Rates" sheetId="10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9" l="1"/>
  <c r="M32" i="19" s="1"/>
  <c r="L31" i="19"/>
  <c r="K31" i="19"/>
  <c r="J31" i="19"/>
  <c r="L25" i="19"/>
  <c r="M25" i="19" s="1"/>
  <c r="L24" i="19"/>
  <c r="K24" i="19"/>
  <c r="M24" i="19" s="1"/>
  <c r="J24" i="19"/>
  <c r="D3" i="3"/>
  <c r="B5" i="18"/>
  <c r="D10" i="18" s="1"/>
  <c r="E10" i="18" s="1"/>
  <c r="B12" i="18"/>
  <c r="B13" i="18" s="1"/>
  <c r="B14" i="18" s="1"/>
  <c r="B15" i="18" s="1"/>
  <c r="B16" i="18" s="1"/>
  <c r="B17" i="18" s="1"/>
  <c r="U15" i="19"/>
  <c r="H15" i="19"/>
  <c r="J15" i="19" s="1"/>
  <c r="L15" i="19" s="1"/>
  <c r="C5" i="19" s="1"/>
  <c r="E5" i="19" s="1"/>
  <c r="U14" i="19"/>
  <c r="T14" i="19"/>
  <c r="S14" i="19"/>
  <c r="J14" i="19"/>
  <c r="L14" i="19" s="1"/>
  <c r="C4" i="19" s="1"/>
  <c r="E4" i="19" s="1"/>
  <c r="D12" i="19"/>
  <c r="S10" i="19"/>
  <c r="Z7" i="19"/>
  <c r="L6" i="19" s="1"/>
  <c r="M6" i="19" s="1"/>
  <c r="Y7" i="19"/>
  <c r="M7" i="19"/>
  <c r="L7" i="19"/>
  <c r="K7" i="19"/>
  <c r="W6" i="19"/>
  <c r="Y6" i="19" s="1"/>
  <c r="Z6" i="19" s="1"/>
  <c r="L5" i="19" s="1"/>
  <c r="J5" i="19"/>
  <c r="AB6" i="19" s="1"/>
  <c r="D5" i="19"/>
  <c r="D4" i="19"/>
  <c r="C3" i="19"/>
  <c r="K5" i="19" l="1"/>
  <c r="M5" i="19" s="1"/>
  <c r="M8" i="19" s="1"/>
  <c r="D3" i="19" s="1"/>
  <c r="E3" i="19" s="1"/>
  <c r="D6" i="19" s="1"/>
  <c r="E6" i="19" s="1"/>
  <c r="D7" i="19" s="1"/>
  <c r="E7" i="19" s="1"/>
  <c r="M31" i="19"/>
  <c r="D16" i="18"/>
  <c r="D15" i="18"/>
  <c r="D14" i="18"/>
  <c r="D11" i="18"/>
  <c r="E11" i="18" s="1"/>
  <c r="D13" i="18"/>
  <c r="D17" i="18"/>
  <c r="F17" i="18" s="1"/>
  <c r="D12" i="18"/>
  <c r="G12" i="18" s="1"/>
  <c r="F13" i="18"/>
  <c r="G10" i="18"/>
  <c r="F10" i="18"/>
  <c r="E9" i="17"/>
  <c r="E8" i="17"/>
  <c r="E7" i="17"/>
  <c r="E6" i="17"/>
  <c r="E5" i="17"/>
  <c r="E4" i="17"/>
  <c r="E3" i="17"/>
  <c r="E2" i="17"/>
  <c r="G11" i="18" l="1"/>
  <c r="F11" i="18"/>
  <c r="G14" i="18"/>
  <c r="E14" i="18"/>
  <c r="G17" i="18"/>
  <c r="E17" i="18"/>
  <c r="G15" i="18"/>
  <c r="E15" i="18"/>
  <c r="F16" i="18"/>
  <c r="E16" i="18"/>
  <c r="F15" i="18"/>
  <c r="F14" i="18"/>
  <c r="G16" i="18"/>
  <c r="F12" i="18"/>
  <c r="E12" i="18"/>
  <c r="G13" i="18"/>
  <c r="E13" i="18"/>
  <c r="E8" i="19"/>
  <c r="O8" i="13"/>
  <c r="J8" i="13"/>
  <c r="K8" i="13" s="1"/>
  <c r="O7" i="13"/>
  <c r="J7" i="13"/>
  <c r="K7" i="13" s="1"/>
  <c r="J6" i="13"/>
  <c r="K6" i="13" s="1"/>
  <c r="L6" i="13" s="1"/>
  <c r="M6" i="13" s="1"/>
  <c r="O6" i="13"/>
  <c r="L8" i="13" l="1"/>
  <c r="M8" i="13"/>
  <c r="L7" i="13"/>
  <c r="M7" i="13" s="1"/>
  <c r="V9" i="9"/>
  <c r="Y9" i="9" s="1"/>
  <c r="Z9" i="9" s="1"/>
  <c r="G9" i="9" s="1"/>
  <c r="O7" i="8" l="1"/>
  <c r="J3" i="9"/>
  <c r="J9" i="9" s="1"/>
  <c r="H7" i="8"/>
  <c r="J7" i="8" s="1"/>
  <c r="E10" i="7"/>
  <c r="F10" i="7"/>
  <c r="D10" i="7"/>
  <c r="C10" i="7"/>
  <c r="P22" i="7"/>
  <c r="P23" i="7"/>
  <c r="P24" i="7"/>
  <c r="P25" i="7"/>
  <c r="P26" i="7"/>
  <c r="P27" i="7"/>
  <c r="P28" i="7"/>
  <c r="P21" i="7"/>
  <c r="O22" i="7"/>
  <c r="O23" i="7"/>
  <c r="O24" i="7"/>
  <c r="O25" i="7"/>
  <c r="O26" i="7"/>
  <c r="O27" i="7"/>
  <c r="O28" i="7"/>
  <c r="O21" i="7"/>
  <c r="N22" i="7"/>
  <c r="N23" i="7"/>
  <c r="N24" i="7"/>
  <c r="N25" i="7"/>
  <c r="N26" i="7"/>
  <c r="N27" i="7"/>
  <c r="N28" i="7"/>
  <c r="N21" i="7"/>
  <c r="I4" i="5"/>
  <c r="F4" i="5"/>
  <c r="G4" i="5" s="1"/>
  <c r="E5" i="5" s="1"/>
  <c r="A3" i="3"/>
  <c r="C3" i="3" s="1"/>
  <c r="E3" i="3" s="1"/>
  <c r="B53" i="2"/>
  <c r="D53" i="2" s="1"/>
  <c r="F53" i="2" s="1"/>
  <c r="D9" i="9" l="1"/>
  <c r="K7" i="8"/>
  <c r="L7" i="8" s="1"/>
  <c r="H14" i="1"/>
  <c r="G14" i="1"/>
  <c r="F14" i="1"/>
  <c r="E9" i="9" l="1"/>
  <c r="M9" i="9" s="1"/>
  <c r="O9" i="9" l="1"/>
  <c r="Q9" i="9" s="1"/>
  <c r="R9" i="9" l="1"/>
  <c r="S9" i="9" s="1"/>
</calcChain>
</file>

<file path=xl/sharedStrings.xml><?xml version="1.0" encoding="utf-8"?>
<sst xmlns="http://schemas.openxmlformats.org/spreadsheetml/2006/main" count="1091" uniqueCount="596">
  <si>
    <t>Picture</t>
  </si>
  <si>
    <t>Description</t>
  </si>
  <si>
    <t>Bricks</t>
  </si>
  <si>
    <t>Supplier</t>
  </si>
  <si>
    <t>Project Location:</t>
  </si>
  <si>
    <t>Low</t>
  </si>
  <si>
    <t>Medium</t>
  </si>
  <si>
    <t>High</t>
  </si>
  <si>
    <t>used to determine estimated P&amp;G</t>
  </si>
  <si>
    <t>unit</t>
  </si>
  <si>
    <t>no</t>
  </si>
  <si>
    <t xml:space="preserve">Project Complexity: </t>
  </si>
  <si>
    <t>Supply Rate</t>
  </si>
  <si>
    <t>Installation Rate</t>
  </si>
  <si>
    <t>Con A</t>
  </si>
  <si>
    <t>Con B</t>
  </si>
  <si>
    <t>Con C</t>
  </si>
  <si>
    <t>Supply &amp; Install Best Rate</t>
  </si>
  <si>
    <t>AA Bricks</t>
  </si>
  <si>
    <t>Corobrik</t>
  </si>
  <si>
    <t>Just brick</t>
  </si>
  <si>
    <t>Clay stock brick - 220x110x85mm</t>
  </si>
  <si>
    <t>Brickforce</t>
  </si>
  <si>
    <t>Sand</t>
  </si>
  <si>
    <t>Cement</t>
  </si>
  <si>
    <t>Rebar</t>
  </si>
  <si>
    <t>Get quote or request call back</t>
  </si>
  <si>
    <t>Stone</t>
  </si>
  <si>
    <t>Structural Steel</t>
  </si>
  <si>
    <t>Formwork</t>
  </si>
  <si>
    <t>Scaffolding</t>
  </si>
  <si>
    <t>Partition Boards</t>
  </si>
  <si>
    <t>Ceilings</t>
  </si>
  <si>
    <t>Polycarb Roof</t>
  </si>
  <si>
    <t>Roof Tiles</t>
  </si>
  <si>
    <t>Glass &amp; Aluminium</t>
  </si>
  <si>
    <t>Timber trusses</t>
  </si>
  <si>
    <t xml:space="preserve">Doors </t>
  </si>
  <si>
    <t>Paint</t>
  </si>
  <si>
    <t>Tiles</t>
  </si>
  <si>
    <t>Carpets</t>
  </si>
  <si>
    <t>Audio Visual</t>
  </si>
  <si>
    <t>ICT</t>
  </si>
  <si>
    <t>Lifts</t>
  </si>
  <si>
    <t>Lighting</t>
  </si>
  <si>
    <t>Carpentry &amp; Joinery</t>
  </si>
  <si>
    <t>Ironmongery</t>
  </si>
  <si>
    <t>Fire sprinklers</t>
  </si>
  <si>
    <t>Furniture</t>
  </si>
  <si>
    <t>Solar</t>
  </si>
  <si>
    <t>Louvers</t>
  </si>
  <si>
    <t>Cladding</t>
  </si>
  <si>
    <t>Bricks &amp; Paving</t>
  </si>
  <si>
    <t xml:space="preserve">Piping </t>
  </si>
  <si>
    <t>Waterproofing</t>
  </si>
  <si>
    <t>Bolts, chemical anchors</t>
  </si>
  <si>
    <t>WC</t>
  </si>
  <si>
    <t>WHB</t>
  </si>
  <si>
    <t>Taps</t>
  </si>
  <si>
    <t>Mirrors</t>
  </si>
  <si>
    <t>Signage</t>
  </si>
  <si>
    <t>Balustrades</t>
  </si>
  <si>
    <t>Landscaping</t>
  </si>
  <si>
    <t>HVAC</t>
  </si>
  <si>
    <t>Access Flooring</t>
  </si>
  <si>
    <t>Blinds</t>
  </si>
  <si>
    <t>Piling</t>
  </si>
  <si>
    <t>Fire Sealing</t>
  </si>
  <si>
    <t>Concrete (ready mix)</t>
  </si>
  <si>
    <t>companies each</t>
  </si>
  <si>
    <t>10 products each</t>
  </si>
  <si>
    <t>Over 10 its R200 in 10 item intervals</t>
  </si>
  <si>
    <t>Buyout</t>
  </si>
  <si>
    <t>Supply &amp; install only</t>
  </si>
  <si>
    <t>Trencon</t>
  </si>
  <si>
    <t>WBHO</t>
  </si>
  <si>
    <t>Ratings</t>
  </si>
  <si>
    <t>Prior Purchases</t>
  </si>
  <si>
    <t>Fercor</t>
  </si>
  <si>
    <t>Aveng</t>
  </si>
  <si>
    <t>Tri-star</t>
  </si>
  <si>
    <t>M&amp;D</t>
  </si>
  <si>
    <t>Main Contractors</t>
  </si>
  <si>
    <t>Sub-Contractors</t>
  </si>
  <si>
    <t>per trade</t>
  </si>
  <si>
    <t>Trades Contractors</t>
  </si>
  <si>
    <t>Add</t>
  </si>
  <si>
    <t>Vibro</t>
  </si>
  <si>
    <t>Formscaff</t>
  </si>
  <si>
    <t>Unica</t>
  </si>
  <si>
    <t>Belgotex</t>
  </si>
  <si>
    <t>Saint-Gobain</t>
  </si>
  <si>
    <t>Pelican</t>
  </si>
  <si>
    <t xml:space="preserve">Search by </t>
  </si>
  <si>
    <t>Category</t>
  </si>
  <si>
    <t>No. of trades/works</t>
  </si>
  <si>
    <t>No. of suppliers/trade</t>
  </si>
  <si>
    <t>Total No. of suppliers/installors</t>
  </si>
  <si>
    <t>Monthly fee/each</t>
  </si>
  <si>
    <t>Total Monthly Fee</t>
  </si>
  <si>
    <t>Owa</t>
  </si>
  <si>
    <t>Knauf</t>
  </si>
  <si>
    <t>Blocks (Non load bearing)</t>
  </si>
  <si>
    <t>Cemteq</t>
  </si>
  <si>
    <t>Hebel</t>
  </si>
  <si>
    <t>RNS</t>
  </si>
  <si>
    <t>KBAC</t>
  </si>
  <si>
    <t>ERZ</t>
  </si>
  <si>
    <t>Afrisam</t>
  </si>
  <si>
    <t>PPC</t>
  </si>
  <si>
    <t>Ifuba</t>
  </si>
  <si>
    <t>The door group</t>
  </si>
  <si>
    <t>m2</t>
  </si>
  <si>
    <t>One Brick Wall</t>
  </si>
  <si>
    <t>Qty</t>
  </si>
  <si>
    <t>product factor</t>
  </si>
  <si>
    <t>no. of units</t>
  </si>
  <si>
    <t>Request Quote</t>
  </si>
  <si>
    <t>Rate</t>
  </si>
  <si>
    <t>Qty sliding Scale Pricing</t>
  </si>
  <si>
    <t>Amount</t>
  </si>
  <si>
    <t>Company A</t>
  </si>
  <si>
    <t>Company B</t>
  </si>
  <si>
    <t>Show cheapest</t>
  </si>
  <si>
    <t>bricks required</t>
  </si>
  <si>
    <t>Wastage 15%</t>
  </si>
  <si>
    <t xml:space="preserve">Transport </t>
  </si>
  <si>
    <t>Location</t>
  </si>
  <si>
    <t>Item</t>
  </si>
  <si>
    <t>Pic</t>
  </si>
  <si>
    <t>Tickbox</t>
  </si>
  <si>
    <t>Code to tie up to API's other system</t>
  </si>
  <si>
    <t>A101</t>
  </si>
  <si>
    <t>Suppliers to pay for listing</t>
  </si>
  <si>
    <t>Users are free</t>
  </si>
  <si>
    <t>Advertising on page</t>
  </si>
  <si>
    <t>API &amp; Ties at additional charge (Costx, Revit, etc)</t>
  </si>
  <si>
    <t>If logged in (show names of co)</t>
  </si>
  <si>
    <t>P&amp;G</t>
  </si>
  <si>
    <t>Sliding Scale</t>
  </si>
  <si>
    <t>DIY</t>
  </si>
  <si>
    <t>Material Rate Only</t>
  </si>
  <si>
    <t>Lixil</t>
  </si>
  <si>
    <t>Capco</t>
  </si>
  <si>
    <t>Solidwood</t>
  </si>
  <si>
    <t>Size of works</t>
  </si>
  <si>
    <t>Pricing</t>
  </si>
  <si>
    <t>BEE</t>
  </si>
  <si>
    <t>Financials</t>
  </si>
  <si>
    <t>Insurances</t>
  </si>
  <si>
    <t xml:space="preserve">Connecting </t>
  </si>
  <si>
    <t>Tradesman</t>
  </si>
  <si>
    <t>Contractors</t>
  </si>
  <si>
    <t>Live pricing</t>
  </si>
  <si>
    <t>Suppliers</t>
  </si>
  <si>
    <t>Material Only</t>
  </si>
  <si>
    <t>Quantity input</t>
  </si>
  <si>
    <t>Tekcent</t>
  </si>
  <si>
    <t>Dudley</t>
  </si>
  <si>
    <t>Company X</t>
  </si>
  <si>
    <t>Quantity</t>
  </si>
  <si>
    <t>Base Rate</t>
  </si>
  <si>
    <t>Rhinoboard</t>
  </si>
  <si>
    <t>Saint Gobain</t>
  </si>
  <si>
    <t>ESG (Sustainablity) Rating</t>
  </si>
  <si>
    <t>EPD's</t>
  </si>
  <si>
    <t>Governance</t>
  </si>
  <si>
    <t>Carbon policy</t>
  </si>
  <si>
    <t>SBT's</t>
  </si>
  <si>
    <t>Main/Sub-Contractors</t>
  </si>
  <si>
    <t>Resources</t>
  </si>
  <si>
    <t>Experience</t>
  </si>
  <si>
    <t>Capability</t>
  </si>
  <si>
    <t>Current commitments</t>
  </si>
  <si>
    <t>Price buddy</t>
  </si>
  <si>
    <t>Kaleidorock</t>
  </si>
  <si>
    <t>Quantity Discount Applicable</t>
  </si>
  <si>
    <t>Supplier Discount Applicable</t>
  </si>
  <si>
    <t>Associated items (Estimate Format)</t>
  </si>
  <si>
    <t>Supply Price</t>
  </si>
  <si>
    <t>Installation</t>
  </si>
  <si>
    <t xml:space="preserve">Profit </t>
  </si>
  <si>
    <t>P&amp;G %</t>
  </si>
  <si>
    <t>Fushplastered ceiling 1 to 2m high</t>
  </si>
  <si>
    <t>Total Price</t>
  </si>
  <si>
    <t>Live Saint Gobain</t>
  </si>
  <si>
    <t>Live Tekcent</t>
  </si>
  <si>
    <t>Labour</t>
  </si>
  <si>
    <t>Consumables</t>
  </si>
  <si>
    <t>Waste</t>
  </si>
  <si>
    <t>Tape</t>
  </si>
  <si>
    <t>screws</t>
  </si>
  <si>
    <t>Discount applicable</t>
  </si>
  <si>
    <t>Board</t>
  </si>
  <si>
    <t>RhinoBoard® 12.5mm</t>
  </si>
  <si>
    <t>Habito® 12.5mm</t>
  </si>
  <si>
    <t>RhinoBoard® FireStop® dB 15mm</t>
  </si>
  <si>
    <t>RhinoBoard® DuraLine 15mm</t>
  </si>
  <si>
    <t>RhinoBoard® RhinoTough® 12.5 mm</t>
  </si>
  <si>
    <t>RhinoBoard® 12.5 mm</t>
  </si>
  <si>
    <t>Screws</t>
  </si>
  <si>
    <t xml:space="preserve">Habito® GTX-F High Performance Screws 35mm </t>
  </si>
  <si>
    <t>Gyproc Sharp-point Screws 42mm</t>
  </si>
  <si>
    <t>Gyproc Sharp-point Screws 25mm</t>
  </si>
  <si>
    <t>Studs</t>
  </si>
  <si>
    <t>102 mm Gypframe® UltraSTEEL® Studs</t>
  </si>
  <si>
    <t>63.5 mm Gypframe® UltraSTEEL® Studs</t>
  </si>
  <si>
    <t>Supports/Bracing</t>
  </si>
  <si>
    <t>102 mm Gypframe®  Tees</t>
  </si>
  <si>
    <t>63.5 mm Gypframe® Tees</t>
  </si>
  <si>
    <t>Tracks</t>
  </si>
  <si>
    <t>Gypframe® Corner Bead</t>
  </si>
  <si>
    <t>Insulation</t>
  </si>
  <si>
    <t>102 mm Isover Cavitybatt®/Cavitylite®</t>
  </si>
  <si>
    <t>63.5 mm Isover Cavitybatt®/Cavitylite®</t>
  </si>
  <si>
    <t xml:space="preserve">Gyproc RhinoTape® </t>
  </si>
  <si>
    <t>Plaster</t>
  </si>
  <si>
    <t>Gyproc RhinoLite® CreteStone®</t>
  </si>
  <si>
    <t xml:space="preserve">Gyproc RhinoLite® Multipurpose </t>
  </si>
  <si>
    <t>Gyproc RhinoLite® RhinoGlide®</t>
  </si>
  <si>
    <t>A1</t>
  </si>
  <si>
    <t>A12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</si>
  <si>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</si>
  <si>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</si>
  <si>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</si>
  <si>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</si>
  <si>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</si>
  <si>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</si>
  <si>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</si>
  <si>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</si>
  <si>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</si>
  <si>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</si>
  <si>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</si>
  <si>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</si>
  <si>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</si>
  <si>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</si>
  <si>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</si>
  <si>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</si>
  <si>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</si>
  <si>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</si>
  <si>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</si>
  <si>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</si>
  <si>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</si>
  <si>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</si>
  <si>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</si>
  <si>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</si>
  <si>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</si>
  <si>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1200 x 600</t>
  </si>
  <si>
    <t>Delivery</t>
  </si>
  <si>
    <t>Site Delivery</t>
  </si>
  <si>
    <t>OHS</t>
  </si>
  <si>
    <t>Vetting</t>
  </si>
  <si>
    <t>Guarantees</t>
  </si>
  <si>
    <t>Retention</t>
  </si>
  <si>
    <t>Unit</t>
  </si>
  <si>
    <t>Production rates</t>
  </si>
  <si>
    <t>price/load</t>
  </si>
  <si>
    <t>m2/load</t>
  </si>
  <si>
    <t>minimum price</t>
  </si>
  <si>
    <t>Working hours</t>
  </si>
  <si>
    <t>Access</t>
  </si>
  <si>
    <t>/per day</t>
  </si>
  <si>
    <t>works</t>
  </si>
  <si>
    <t>profit</t>
  </si>
  <si>
    <t>Discount</t>
  </si>
  <si>
    <t>Total Discouted Price</t>
  </si>
  <si>
    <t>Length</t>
  </si>
  <si>
    <t>Breath</t>
  </si>
  <si>
    <t>Size</t>
  </si>
  <si>
    <t>Factor conversion</t>
  </si>
  <si>
    <t xml:space="preserve">Hangers </t>
  </si>
  <si>
    <t>Tees</t>
  </si>
  <si>
    <t>Insurance Companies</t>
  </si>
  <si>
    <t>Lombards</t>
  </si>
  <si>
    <t>Bryte</t>
  </si>
  <si>
    <t>Nedbank</t>
  </si>
  <si>
    <t>Standard Bank</t>
  </si>
  <si>
    <t>CGIC</t>
  </si>
  <si>
    <t>Access/Scaffolding</t>
  </si>
  <si>
    <t>Change management</t>
  </si>
  <si>
    <t>assist with VO cost (estimate)</t>
  </si>
  <si>
    <t>BoQ input function</t>
  </si>
  <si>
    <t>BoQ measurement function</t>
  </si>
  <si>
    <t>Estimate</t>
  </si>
  <si>
    <t>Connecting People</t>
  </si>
  <si>
    <t>Sub-Contractor</t>
  </si>
  <si>
    <t>Main Contractor</t>
  </si>
  <si>
    <t>Client</t>
  </si>
  <si>
    <t>Saving Time</t>
  </si>
  <si>
    <t>Live pricing of suppliers</t>
  </si>
  <si>
    <t>Live pricing of contractors</t>
  </si>
  <si>
    <t>Favourable pricing</t>
  </si>
  <si>
    <t>Suppliers provide bespoke pricing</t>
  </si>
  <si>
    <t>Drag &amp; Drop</t>
  </si>
  <si>
    <t>Pricing into BoQ</t>
  </si>
  <si>
    <t>Saves money</t>
  </si>
  <si>
    <t>Data warehouse</t>
  </si>
  <si>
    <t>CIDB</t>
  </si>
  <si>
    <t xml:space="preserve">Commitments </t>
  </si>
  <si>
    <t>Workmens compensation</t>
  </si>
  <si>
    <t>OHS Policy</t>
  </si>
  <si>
    <t>Insurance</t>
  </si>
  <si>
    <t>Live pricing of sub-contractors</t>
  </si>
  <si>
    <t>Saves time</t>
  </si>
  <si>
    <t>Width</t>
  </si>
  <si>
    <t>Height</t>
  </si>
  <si>
    <t>assa abloy</t>
  </si>
  <si>
    <t>HLL buchels</t>
  </si>
  <si>
    <t>kg/unit/m2/m3,etc</t>
  </si>
  <si>
    <t>Data collection</t>
  </si>
  <si>
    <t>BoQ function</t>
  </si>
  <si>
    <t>Preliminaries &amp; Generals</t>
  </si>
  <si>
    <t>Financing</t>
  </si>
  <si>
    <t>Mastercard</t>
  </si>
  <si>
    <t>60days or day bespoke to contract</t>
  </si>
  <si>
    <t>Sustainable Packageing</t>
  </si>
  <si>
    <t>600 x 600</t>
  </si>
  <si>
    <t>No.</t>
  </si>
  <si>
    <t xml:space="preserve">Waste </t>
  </si>
  <si>
    <t>Dereck Logan</t>
  </si>
  <si>
    <t>Interface</t>
  </si>
  <si>
    <t>Vanguard</t>
  </si>
  <si>
    <t>Sealant</t>
  </si>
  <si>
    <t>1 Litre</t>
  </si>
  <si>
    <t>Tactile</t>
  </si>
  <si>
    <t>Skirting</t>
  </si>
  <si>
    <t>Factory Delivery</t>
  </si>
  <si>
    <t>Finance</t>
  </si>
  <si>
    <t>60 day buffer</t>
  </si>
  <si>
    <t>Assist contractors</t>
  </si>
  <si>
    <t>financier</t>
  </si>
  <si>
    <t>`DimX - Ribi2</t>
  </si>
  <si>
    <t>boards/m2</t>
  </si>
  <si>
    <t>A</t>
  </si>
  <si>
    <t>B</t>
  </si>
  <si>
    <t>C</t>
  </si>
  <si>
    <t>D</t>
  </si>
  <si>
    <t>Quote (Ref number) followed by invoice</t>
  </si>
  <si>
    <t>m²</t>
  </si>
  <si>
    <t>Skilled</t>
  </si>
  <si>
    <t>Un-skilled</t>
  </si>
  <si>
    <t>Overtime</t>
  </si>
  <si>
    <t>Allowance</t>
  </si>
  <si>
    <t>Platforms</t>
  </si>
  <si>
    <t>Costx</t>
  </si>
  <si>
    <t>CCS</t>
  </si>
  <si>
    <t>Planswift</t>
  </si>
  <si>
    <t>Proest</t>
  </si>
  <si>
    <t>Stackct</t>
  </si>
  <si>
    <t>Our Platform</t>
  </si>
  <si>
    <t>*Tradesmen</t>
  </si>
  <si>
    <t>*Insurer</t>
  </si>
  <si>
    <t>A1-A3 &amp; B1 to …..</t>
  </si>
  <si>
    <t>Separate company</t>
  </si>
  <si>
    <t>Benefits</t>
  </si>
  <si>
    <t>Supplier exposure</t>
  </si>
  <si>
    <t>Bespoke pricing to each purchaser</t>
  </si>
  <si>
    <t>Saves Time (live pricing)</t>
  </si>
  <si>
    <t>Joins Suppliers to Contractors</t>
  </si>
  <si>
    <t>Keeping users on the platform</t>
  </si>
  <si>
    <t>Bespoke pricing for required quantity</t>
  </si>
  <si>
    <t>Pricing confidentiality</t>
  </si>
  <si>
    <t>Information library for Suppliers</t>
  </si>
  <si>
    <t>Information library for Contractor</t>
  </si>
  <si>
    <t>Challenges</t>
  </si>
  <si>
    <t>User uptake</t>
  </si>
  <si>
    <t>Supplier Exclusivity</t>
  </si>
  <si>
    <t>Advertisment pricing</t>
  </si>
  <si>
    <t>KPI Measure</t>
  </si>
  <si>
    <t>Carbon/unit</t>
  </si>
  <si>
    <t>Estimating Platform - Live Pricing</t>
  </si>
  <si>
    <t>API's to QS, Architects sotfware</t>
  </si>
  <si>
    <t>PG Bisson</t>
  </si>
  <si>
    <t>Aluglass</t>
  </si>
  <si>
    <t>fortune steel</t>
  </si>
  <si>
    <t>pro-roof</t>
  </si>
  <si>
    <t>sa-rebar</t>
  </si>
  <si>
    <t>Roof sheeting</t>
  </si>
  <si>
    <t>Pro-roof</t>
  </si>
  <si>
    <t>GRS</t>
  </si>
  <si>
    <t>Safintra</t>
  </si>
  <si>
    <t>Fencing</t>
  </si>
  <si>
    <t>Betafence</t>
  </si>
  <si>
    <t>Foundation brickwork of NFX clay bricks (14 MPa nominal compressive strength) in class I mortar in One brick walls</t>
  </si>
  <si>
    <t>Building Sand</t>
  </si>
  <si>
    <t>m3</t>
  </si>
  <si>
    <t>Cement General Purpose 32.5</t>
  </si>
  <si>
    <t>bg</t>
  </si>
  <si>
    <t>Clay Stockbricks NFX 222 x 105 x 73mm</t>
  </si>
  <si>
    <t>th</t>
  </si>
  <si>
    <t>Artisan Bricklayer</t>
  </si>
  <si>
    <t>hour</t>
  </si>
  <si>
    <t>Labourer</t>
  </si>
  <si>
    <t>Overheads &amp; Sundries @ 2.5%</t>
  </si>
  <si>
    <t>Profit @ 10%</t>
  </si>
  <si>
    <t>Class I</t>
  </si>
  <si>
    <t>500 x 500mm "Berber Point 920" carpet tiles on floors</t>
  </si>
  <si>
    <t>Berber Point 920 carpet tiles 500 x 500mm</t>
  </si>
  <si>
    <t>Floor Layer</t>
  </si>
  <si>
    <t>Total</t>
  </si>
  <si>
    <t>Carpenter</t>
  </si>
  <si>
    <t>Rate/Hour</t>
  </si>
  <si>
    <t>Decription</t>
  </si>
  <si>
    <t>Production</t>
  </si>
  <si>
    <t>Hours/day</t>
  </si>
  <si>
    <t>Output/day</t>
  </si>
  <si>
    <t>Productivity/hour</t>
  </si>
  <si>
    <t>Based on 1 Carpet layer and 2 Labourers with output of 60m2 per day</t>
  </si>
  <si>
    <t>Hours/m²</t>
  </si>
  <si>
    <t>Material</t>
  </si>
  <si>
    <t>Glue</t>
  </si>
  <si>
    <t>box</t>
  </si>
  <si>
    <t>price</t>
  </si>
  <si>
    <t>m² price</t>
  </si>
  <si>
    <t>m² factor</t>
  </si>
  <si>
    <t>Tiles/box</t>
  </si>
  <si>
    <t>tiles</t>
  </si>
  <si>
    <t>item</t>
  </si>
  <si>
    <t>Factor</t>
  </si>
  <si>
    <t>ml</t>
  </si>
  <si>
    <t>Wastage</t>
  </si>
  <si>
    <t>Derek Logan</t>
  </si>
  <si>
    <t xml:space="preserve">Username </t>
  </si>
  <si>
    <t>Password</t>
  </si>
  <si>
    <t>↓</t>
  </si>
  <si>
    <t>↑</t>
  </si>
  <si>
    <t>Concrete</t>
  </si>
  <si>
    <t>Brickwork</t>
  </si>
  <si>
    <t>Trades</t>
  </si>
  <si>
    <t>Drop down</t>
  </si>
  <si>
    <t>COST AI</t>
  </si>
  <si>
    <t>LOGO</t>
  </si>
  <si>
    <t>REEL ADVERTISING</t>
  </si>
  <si>
    <t>Scroll</t>
  </si>
  <si>
    <t>Supplier Product 1</t>
  </si>
  <si>
    <t>Supplier Product 2</t>
  </si>
  <si>
    <t>Supplier Product 3</t>
  </si>
  <si>
    <t>Click on Concrete - Only gives concrete products</t>
  </si>
  <si>
    <t>About us</t>
  </si>
  <si>
    <t>Contact us</t>
  </si>
  <si>
    <t xml:space="preserve">Sustainability </t>
  </si>
  <si>
    <t>What we do &amp; Why</t>
  </si>
  <si>
    <t>Coro-brik</t>
  </si>
  <si>
    <t>Search by</t>
  </si>
  <si>
    <t>Price Valid for:</t>
  </si>
  <si>
    <t>days</t>
  </si>
  <si>
    <t>Plant &amp; Machinery</t>
  </si>
  <si>
    <t>Scaffold</t>
  </si>
  <si>
    <t>*</t>
  </si>
  <si>
    <t>Lecicosa</t>
  </si>
  <si>
    <t>Marble Classic</t>
  </si>
  <si>
    <t>Regent</t>
  </si>
  <si>
    <t>Lighting Warehouse</t>
  </si>
  <si>
    <t>Alania</t>
  </si>
  <si>
    <t>india company</t>
  </si>
  <si>
    <t>sign maestro</t>
  </si>
  <si>
    <t>Sebenza</t>
  </si>
  <si>
    <t>Data centre</t>
  </si>
  <si>
    <t>use autospec to get suppliers</t>
  </si>
  <si>
    <t>Esti-Mate</t>
  </si>
  <si>
    <t>Trade</t>
  </si>
  <si>
    <t>Masonry</t>
  </si>
  <si>
    <t>Contractor</t>
  </si>
  <si>
    <t>Preliminaries</t>
  </si>
  <si>
    <t>Demolitions</t>
  </si>
  <si>
    <t>Alterations</t>
  </si>
  <si>
    <t>Earthworks (provisional)</t>
  </si>
  <si>
    <t>Lateral support</t>
  </si>
  <si>
    <t>Concrete, formwork and reinforcement</t>
  </si>
  <si>
    <t>Precast concrete</t>
  </si>
  <si>
    <t>Roof coverings, claddings, etc</t>
  </si>
  <si>
    <t>Carpentry and joinery</t>
  </si>
  <si>
    <t>Ceilings, partitions and access flooring</t>
  </si>
  <si>
    <t>Floor coverings, wall linings, etc</t>
  </si>
  <si>
    <t>Structural steelwork</t>
  </si>
  <si>
    <t>Metalwork</t>
  </si>
  <si>
    <t>Plastering</t>
  </si>
  <si>
    <t>Tiling</t>
  </si>
  <si>
    <t>Plumbing and drainage</t>
  </si>
  <si>
    <t>Electrical work</t>
  </si>
  <si>
    <t>Mechanical work</t>
  </si>
  <si>
    <t>Glazing</t>
  </si>
  <si>
    <t>Paintwork</t>
  </si>
  <si>
    <t>Paperhanging</t>
  </si>
  <si>
    <t>External work</t>
  </si>
  <si>
    <t>Provisional sums</t>
  </si>
  <si>
    <t>Rank</t>
  </si>
  <si>
    <t>Company</t>
  </si>
  <si>
    <t>Primary Commodity</t>
  </si>
  <si>
    <t>Ownership</t>
  </si>
  <si>
    <t>PPC Ltd</t>
  </si>
  <si>
    <t>Listed</t>
  </si>
  <si>
    <t>Afrimat</t>
  </si>
  <si>
    <t>AfriSam</t>
  </si>
  <si>
    <t>Private</t>
  </si>
  <si>
    <t>Sephaku Holdings</t>
  </si>
  <si>
    <t>ISG (Technicrete)</t>
  </si>
  <si>
    <t>AMSA</t>
  </si>
  <si>
    <t>Macsteel</t>
  </si>
  <si>
    <t>BSi Steel</t>
  </si>
  <si>
    <t>NJR Steel</t>
  </si>
  <si>
    <t>Scaw Metals</t>
  </si>
  <si>
    <t>Safal (Safintra)</t>
  </si>
  <si>
    <t>Stewarts &amp; Lloyds</t>
  </si>
  <si>
    <t>Massmart (Builders)</t>
  </si>
  <si>
    <t>General Building</t>
  </si>
  <si>
    <t>The Building Co</t>
  </si>
  <si>
    <t>Spar (Build it)</t>
  </si>
  <si>
    <t>Cashbuild</t>
  </si>
  <si>
    <t>PG Bison</t>
  </si>
  <si>
    <t>Subsidiary</t>
  </si>
  <si>
    <t>York Timbers</t>
  </si>
  <si>
    <t>Hans Merensky</t>
  </si>
  <si>
    <t>Plumblink</t>
  </si>
  <si>
    <t>Voltex</t>
  </si>
  <si>
    <t>Hudaco</t>
  </si>
  <si>
    <t>Specialized Tech</t>
  </si>
  <si>
    <t>ARB Holdings</t>
  </si>
  <si>
    <t>Italtile/Ceramic</t>
  </si>
  <si>
    <t>Norcros SA</t>
  </si>
  <si>
    <t>Kansai Plascon</t>
  </si>
  <si>
    <t>AkzoNobel (Dulux)</t>
  </si>
  <si>
    <t>Sika SA</t>
  </si>
  <si>
    <t>Chemicals</t>
  </si>
  <si>
    <t>BASF</t>
  </si>
  <si>
    <t>Division</t>
  </si>
  <si>
    <t>Trident Steel</t>
  </si>
  <si>
    <t>PG Group</t>
  </si>
  <si>
    <t>NPC (Huaxin)</t>
  </si>
  <si>
    <t>Mamba Cement</t>
  </si>
  <si>
    <t>Actom</t>
  </si>
  <si>
    <t>Allied Steelrode</t>
  </si>
  <si>
    <t>Cemza</t>
  </si>
  <si>
    <t>Ocon Brick</t>
  </si>
  <si>
    <t>Prominent Paints</t>
  </si>
  <si>
    <t>Marley Roofing</t>
  </si>
  <si>
    <t>Pro Roof Steel</t>
  </si>
  <si>
    <t>StonCor Africa</t>
  </si>
  <si>
    <t>Swartland</t>
  </si>
  <si>
    <t>Barnes Reinforcing</t>
  </si>
  <si>
    <t>Sunridge Group</t>
  </si>
  <si>
    <t>ACDC Dynamics</t>
  </si>
  <si>
    <t>Alvern Cables</t>
  </si>
  <si>
    <t>MiTek</t>
  </si>
  <si>
    <t>Clotan Steel</t>
  </si>
  <si>
    <t>Geographic spread, supply security.</t>
  </si>
  <si>
    <t>Integrated "Pit-to-Pile" solution (Lafarge assets).</t>
  </si>
  <si>
    <t>Urban ready-mix dominance.</t>
  </si>
  <si>
    <t>Efficient, low-cost challenger.</t>
  </si>
  <si>
    <t>Municipal/Infrastructure spec specialist.</t>
  </si>
  <si>
    <t>Sole local producer (Risk &amp; Necessity).</t>
  </si>
  <si>
    <t>Processing capacity, national footprint.</t>
  </si>
  <si>
    <t>Agile, export/roofing focus.</t>
  </si>
  <si>
    <t>Retail/Trade hybrid, sundry metalwork.</t>
  </si>
  <si>
    <t>EAF Mini-Mill, import replacement.</t>
  </si>
  <si>
    <t>On-site rolling, industrial roofing leader.</t>
  </si>
  <si>
    <t>Industrial fluid control specialist.</t>
  </si>
  <si>
    <t>Logistics, finishing goods availability.</t>
  </si>
  <si>
    <t>Truss plants, trade focus (Buco).</t>
  </si>
  <si>
    <t>Decentralized/Rural supply network.</t>
  </si>
  <si>
    <t>Deep rural footprint, basic commodities.</t>
  </si>
  <si>
    <t>Vertical security in board production.</t>
  </si>
  <si>
    <t>Structural pine sawmilling scale.</t>
  </si>
  <si>
    <t>High-grade structural timber.</t>
  </si>
  <si>
    <t>Project "kitting" capability.</t>
  </si>
  <si>
    <t>Renewable energy &amp; cable stock.</t>
  </si>
  <si>
    <t>Security &amp; Power Tool agencies.</t>
  </si>
  <si>
    <t>Bulk cable specialist.</t>
  </si>
  <si>
    <t>Manufacturing &amp; Retail integration.</t>
  </si>
  <si>
    <t>System warranties (TAL + Johnson).</t>
  </si>
  <si>
    <t>Industrial coatings &amp; warranties.</t>
  </si>
  <si>
    <t>Trade &amp; Specifier support.</t>
  </si>
  <si>
    <t>Monopoly in lightweight construction.</t>
  </si>
  <si>
    <t>Structural waterproofing/repair.</t>
  </si>
  <si>
    <t>Concrete admixtures &amp; technology.</t>
  </si>
  <si>
    <t>Largest clay brick manufacturer.</t>
  </si>
  <si>
    <t>Auto &amp; General steel, high volume plate/coil.</t>
  </si>
  <si>
    <t>Sole float glass producer (PFG).</t>
  </si>
  <si>
    <t>KZN regional dominance, Huaxin backing.</t>
  </si>
  <si>
    <t>Efficient inland producer (Limpopo).</t>
  </si>
  <si>
    <t>Local manufacturing of transformers/switchgear.</t>
  </si>
  <si>
    <t>Major coil processor, stretcher leveling tech.</t>
  </si>
  <si>
    <t>Strategic Coega location, slag cements.</t>
  </si>
  <si>
    <t>High volume clay stock bricks for Gauteng.</t>
  </si>
  <si>
    <t>PPG backed, strong trade presence.</t>
  </si>
  <si>
    <t>Concrete &amp; Clay roof tile leader.</t>
  </si>
  <si>
    <t>Long products &amp; roofing, strong export nodes.</t>
  </si>
  <si>
    <t>Heavy industrial flooring &amp; linings.</t>
  </si>
  <si>
    <t>Ready-to-install windows/doors, national footprint.</t>
  </si>
  <si>
    <t>Dedicated rebar solutions, Barnes Group backing.</t>
  </si>
  <si>
    <t>Largest independent plumbing wholesaler.</t>
  </si>
  <si>
    <t>Vast range of electrical &amp; automation components.</t>
  </si>
  <si>
    <t>Local cable manufacturing, SABS compliance.</t>
  </si>
  <si>
    <t>Truss engineering software &amp; connector plates.</t>
  </si>
  <si>
    <t>IBR/Corrugated sheeting, mobile mills.</t>
  </si>
  <si>
    <t>Key Strategic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</si>
</sst>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R-1C09]* #,##0.00_-;\-[$R-1C09]* #,##0.00_-;_-[$R-1C09]* &quot;-&quot;??_-;_-@_-"/>
    <numFmt numFmtId="165" formatCode="0.000"/>
    <numFmt numFmtId="166" formatCode="0.0"/>
    <numFmt numFmtId="167" formatCode="_-* #,##0.00000_-;\-* #,##0.00000_-;_-* &quot;-&quot;??_-;_-@_-"/>
    <numFmt numFmtId="168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i/>
      <u/>
      <sz val="8"/>
      <color rgb="FF000000"/>
      <name val="Arial"/>
      <family val="2"/>
    </font>
    <font>
      <sz val="11"/>
      <color theme="1"/>
      <name val="Aptos Narrow"/>
      <family val="2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A5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1" xfId="0" applyFont="1" applyBorder="1"/>
    <xf numFmtId="164" fontId="0" fillId="0" borderId="0" xfId="0" applyNumberFormat="1"/>
    <xf numFmtId="0" fontId="1" fillId="0" borderId="0" xfId="0" applyFont="1"/>
    <xf numFmtId="0" fontId="0" fillId="5" borderId="0" xfId="0" applyFill="1"/>
    <xf numFmtId="0" fontId="4" fillId="5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0" fontId="5" fillId="5" borderId="0" xfId="0" applyFont="1" applyFill="1"/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9" fontId="0" fillId="0" borderId="0" xfId="0" applyNumberFormat="1"/>
    <xf numFmtId="0" fontId="4" fillId="0" borderId="0" xfId="0" applyFont="1"/>
    <xf numFmtId="43" fontId="0" fillId="0" borderId="0" xfId="1" applyFont="1"/>
    <xf numFmtId="0" fontId="0" fillId="0" borderId="6" xfId="0" applyBorder="1"/>
    <xf numFmtId="0" fontId="0" fillId="6" borderId="0" xfId="0" applyFill="1"/>
    <xf numFmtId="10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164" fontId="0" fillId="0" borderId="0" xfId="1" applyNumberFormat="1" applyFont="1"/>
    <xf numFmtId="43" fontId="0" fillId="6" borderId="0" xfId="0" applyNumberFormat="1" applyFill="1"/>
    <xf numFmtId="0" fontId="1" fillId="0" borderId="0" xfId="0" applyFont="1" applyAlignment="1">
      <alignment horizontal="center"/>
    </xf>
    <xf numFmtId="9" fontId="0" fillId="0" borderId="0" xfId="2" applyFont="1"/>
    <xf numFmtId="43" fontId="9" fillId="7" borderId="10" xfId="1" applyFont="1" applyFill="1" applyBorder="1" applyAlignment="1">
      <alignment horizontal="center" vertical="center" wrapText="1"/>
    </xf>
    <xf numFmtId="164" fontId="9" fillId="7" borderId="10" xfId="0" applyNumberFormat="1" applyFont="1" applyFill="1" applyBorder="1" applyAlignment="1">
      <alignment horizontal="center" vertical="center"/>
    </xf>
    <xf numFmtId="164" fontId="9" fillId="7" borderId="10" xfId="0" applyNumberFormat="1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left" vertical="center" wrapText="1"/>
    </xf>
    <xf numFmtId="0" fontId="9" fillId="7" borderId="12" xfId="0" applyFont="1" applyFill="1" applyBorder="1" applyAlignment="1">
      <alignment horizontal="left" vertical="center" wrapText="1"/>
    </xf>
    <xf numFmtId="0" fontId="9" fillId="7" borderId="13" xfId="0" applyFont="1" applyFill="1" applyBorder="1" applyAlignment="1">
      <alignment horizontal="left" vertical="center" wrapText="1"/>
    </xf>
    <xf numFmtId="0" fontId="9" fillId="8" borderId="14" xfId="0" applyFont="1" applyFill="1" applyBorder="1" applyAlignment="1">
      <alignment horizontal="center" vertical="center" wrapText="1"/>
    </xf>
    <xf numFmtId="43" fontId="9" fillId="8" borderId="15" xfId="1" applyFont="1" applyFill="1" applyBorder="1" applyAlignment="1">
      <alignment horizontal="center" vertical="center" wrapText="1"/>
    </xf>
    <xf numFmtId="164" fontId="9" fillId="8" borderId="15" xfId="0" applyNumberFormat="1" applyFont="1" applyFill="1" applyBorder="1" applyAlignment="1">
      <alignment horizontal="center" vertical="center" wrapText="1"/>
    </xf>
    <xf numFmtId="164" fontId="9" fillId="8" borderId="16" xfId="0" applyNumberFormat="1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164" fontId="9" fillId="7" borderId="18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 wrapText="1"/>
    </xf>
    <xf numFmtId="43" fontId="9" fillId="7" borderId="20" xfId="1" applyFont="1" applyFill="1" applyBorder="1" applyAlignment="1">
      <alignment horizontal="center" vertical="center" wrapText="1"/>
    </xf>
    <xf numFmtId="164" fontId="9" fillId="7" borderId="20" xfId="0" applyNumberFormat="1" applyFont="1" applyFill="1" applyBorder="1" applyAlignment="1">
      <alignment horizontal="center" vertical="center" wrapText="1"/>
    </xf>
    <xf numFmtId="164" fontId="9" fillId="7" borderId="21" xfId="0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43" fontId="9" fillId="0" borderId="15" xfId="1" applyFont="1" applyFill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9" fillId="8" borderId="24" xfId="0" applyFont="1" applyFill="1" applyBorder="1" applyAlignment="1">
      <alignment horizontal="center" vertical="center" wrapText="1"/>
    </xf>
    <xf numFmtId="43" fontId="9" fillId="8" borderId="25" xfId="1" applyFont="1" applyFill="1" applyBorder="1" applyAlignment="1">
      <alignment horizontal="center" vertical="center" wrapText="1"/>
    </xf>
    <xf numFmtId="164" fontId="9" fillId="8" borderId="25" xfId="0" applyNumberFormat="1" applyFont="1" applyFill="1" applyBorder="1" applyAlignment="1">
      <alignment horizontal="center" vertical="center" wrapText="1"/>
    </xf>
    <xf numFmtId="164" fontId="9" fillId="8" borderId="9" xfId="0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43" fontId="0" fillId="0" borderId="0" xfId="0" applyNumberFormat="1"/>
    <xf numFmtId="0" fontId="0" fillId="0" borderId="1" xfId="0" applyBorder="1"/>
    <xf numFmtId="2" fontId="0" fillId="0" borderId="0" xfId="0" applyNumberFormat="1"/>
    <xf numFmtId="0" fontId="9" fillId="0" borderId="0" xfId="0" applyFont="1"/>
    <xf numFmtId="0" fontId="10" fillId="10" borderId="1" xfId="0" applyFont="1" applyFill="1" applyBorder="1" applyAlignment="1">
      <alignment horizontal="center"/>
    </xf>
    <xf numFmtId="0" fontId="10" fillId="10" borderId="1" xfId="1" applyNumberFormat="1" applyFon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11" borderId="26" xfId="1" applyNumberFormat="1" applyFont="1" applyFill="1" applyBorder="1" applyAlignment="1">
      <alignment horizontal="center"/>
    </xf>
    <xf numFmtId="166" fontId="0" fillId="11" borderId="1" xfId="1" applyNumberFormat="1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" fontId="0" fillId="11" borderId="26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2" fontId="1" fillId="0" borderId="0" xfId="0" applyNumberFormat="1" applyFont="1"/>
    <xf numFmtId="0" fontId="10" fillId="10" borderId="27" xfId="1" applyNumberFormat="1" applyFont="1" applyFill="1" applyBorder="1" applyAlignment="1">
      <alignment horizontal="center"/>
    </xf>
    <xf numFmtId="167" fontId="0" fillId="0" borderId="0" xfId="1" applyNumberFormat="1" applyFont="1"/>
    <xf numFmtId="0" fontId="10" fillId="10" borderId="0" xfId="0" applyFont="1" applyFill="1" applyAlignment="1">
      <alignment horizontal="center"/>
    </xf>
    <xf numFmtId="166" fontId="0" fillId="0" borderId="26" xfId="1" applyNumberFormat="1" applyFont="1" applyFill="1" applyBorder="1" applyAlignment="1">
      <alignment horizontal="left"/>
    </xf>
    <xf numFmtId="43" fontId="0" fillId="0" borderId="26" xfId="1" applyFont="1" applyFill="1" applyBorder="1" applyAlignment="1">
      <alignment horizontal="center"/>
    </xf>
    <xf numFmtId="164" fontId="0" fillId="0" borderId="26" xfId="1" applyNumberFormat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left"/>
    </xf>
    <xf numFmtId="43" fontId="0" fillId="0" borderId="1" xfId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1" fillId="0" borderId="1" xfId="0" applyNumberFormat="1" applyFont="1" applyBorder="1"/>
    <xf numFmtId="164" fontId="9" fillId="9" borderId="15" xfId="0" applyNumberFormat="1" applyFont="1" applyFill="1" applyBorder="1" applyAlignment="1">
      <alignment horizontal="center" vertical="center" wrapText="1"/>
    </xf>
    <xf numFmtId="164" fontId="9" fillId="9" borderId="10" xfId="0" applyNumberFormat="1" applyFont="1" applyFill="1" applyBorder="1" applyAlignment="1">
      <alignment horizontal="center" vertical="center"/>
    </xf>
    <xf numFmtId="10" fontId="9" fillId="9" borderId="10" xfId="2" applyNumberFormat="1" applyFont="1" applyFill="1" applyBorder="1" applyAlignment="1">
      <alignment horizontal="center" vertical="center" wrapText="1"/>
    </xf>
    <xf numFmtId="166" fontId="0" fillId="0" borderId="0" xfId="1" applyNumberFormat="1" applyFont="1" applyFill="1" applyBorder="1" applyAlignment="1">
      <alignment horizontal="left"/>
    </xf>
    <xf numFmtId="9" fontId="0" fillId="11" borderId="1" xfId="2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1" fillId="0" borderId="1" xfId="0" applyFont="1" applyBorder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Continuous"/>
    </xf>
    <xf numFmtId="0" fontId="0" fillId="0" borderId="28" xfId="0" applyBorder="1"/>
    <xf numFmtId="0" fontId="0" fillId="0" borderId="29" xfId="0" applyBorder="1"/>
    <xf numFmtId="0" fontId="0" fillId="0" borderId="16" xfId="0" applyBorder="1"/>
    <xf numFmtId="0" fontId="0" fillId="0" borderId="30" xfId="0" applyBorder="1"/>
    <xf numFmtId="0" fontId="0" fillId="0" borderId="18" xfId="0" applyBorder="1"/>
    <xf numFmtId="0" fontId="1" fillId="0" borderId="30" xfId="0" applyFont="1" applyBorder="1" applyAlignment="1">
      <alignment horizontal="centerContinuous"/>
    </xf>
    <xf numFmtId="0" fontId="1" fillId="0" borderId="18" xfId="0" applyFont="1" applyBorder="1" applyAlignment="1">
      <alignment horizontal="centerContinuous"/>
    </xf>
    <xf numFmtId="0" fontId="0" fillId="0" borderId="31" xfId="0" applyBorder="1"/>
    <xf numFmtId="0" fontId="0" fillId="0" borderId="32" xfId="0" applyBorder="1"/>
    <xf numFmtId="0" fontId="0" fillId="0" borderId="2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1" fillId="9" borderId="1" xfId="2" applyFont="1" applyFill="1" applyBorder="1" applyAlignment="1">
      <alignment horizontal="center" vertical="center"/>
    </xf>
    <xf numFmtId="164" fontId="0" fillId="0" borderId="1" xfId="0" applyNumberFormat="1" applyBorder="1"/>
    <xf numFmtId="9" fontId="1" fillId="9" borderId="1" xfId="0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166" fontId="1" fillId="0" borderId="26" xfId="1" applyNumberFormat="1" applyFont="1" applyFill="1" applyBorder="1" applyAlignment="1">
      <alignment horizontal="left"/>
    </xf>
    <xf numFmtId="9" fontId="1" fillId="9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8" fontId="1" fillId="9" borderId="1" xfId="1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64" fontId="1" fillId="6" borderId="1" xfId="0" applyNumberFormat="1" applyFont="1" applyFill="1" applyBorder="1"/>
    <xf numFmtId="0" fontId="1" fillId="1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AA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commons.wikimedia.org/wiki/file:solna_brick_wall_vilt_forband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1266824</xdr:colOff>
      <xdr:row>3</xdr:row>
      <xdr:rowOff>26193</xdr:rowOff>
    </xdr:from>
    <xdr:to>
      <xdr:col>2</xdr:col>
      <xdr:colOff>742949</xdr:colOff>
      <xdr:row>6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B643E-1D39-2D65-E675-915AB8B81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6824" y="597693"/>
          <a:ext cx="790575" cy="592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0</xdr:rowOff>
    </xdr:from>
    <xdr:to>
      <xdr:col>6</xdr:col>
      <xdr:colOff>371475</xdr:colOff>
      <xdr:row>11</xdr:row>
      <xdr:rowOff>19050</xdr:rowOff>
    </xdr:to>
    <xdr:pic>
      <xdr:nvPicPr>
        <xdr:cNvPr id="2" name="Graphic 1" descr="Magnifying glass with solid fill">
          <a:extLst>
            <a:ext uri="{FF2B5EF4-FFF2-40B4-BE49-F238E27FC236}">
              <a16:creationId xmlns:a16="http://schemas.microsoft.com/office/drawing/2014/main" id="{899B3959-12DF-488D-8BD9-BFCA0C1E1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4650" y="200977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304801</xdr:colOff>
      <xdr:row>27</xdr:row>
      <xdr:rowOff>190499</xdr:rowOff>
    </xdr:from>
    <xdr:to>
      <xdr:col>7</xdr:col>
      <xdr:colOff>484801</xdr:colOff>
      <xdr:row>28</xdr:row>
      <xdr:rowOff>179999</xdr:rowOff>
    </xdr:to>
    <xdr:pic>
      <xdr:nvPicPr>
        <xdr:cNvPr id="3" name="Graphic 2" descr="Arrow Right with solid fill">
          <a:extLst>
            <a:ext uri="{FF2B5EF4-FFF2-40B4-BE49-F238E27FC236}">
              <a16:creationId xmlns:a16="http://schemas.microsoft.com/office/drawing/2014/main" id="{76161A38-7E83-4E28-A3E3-F27DA9D9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53326" y="5895974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199668</xdr:colOff>
      <xdr:row>28</xdr:row>
      <xdr:rowOff>10498</xdr:rowOff>
    </xdr:from>
    <xdr:to>
      <xdr:col>0</xdr:col>
      <xdr:colOff>379668</xdr:colOff>
      <xdr:row>28</xdr:row>
      <xdr:rowOff>190498</xdr:rowOff>
    </xdr:to>
    <xdr:pic>
      <xdr:nvPicPr>
        <xdr:cNvPr id="4" name="Graphic 3" descr="Arrow Right with solid fill">
          <a:extLst>
            <a:ext uri="{FF2B5EF4-FFF2-40B4-BE49-F238E27FC236}">
              <a16:creationId xmlns:a16="http://schemas.microsoft.com/office/drawing/2014/main" id="{965A2D42-FBCC-4413-93A8-8A9DE1F27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199668" y="5906473"/>
          <a:ext cx="180000" cy="1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10</xdr:row>
      <xdr:rowOff>0</xdr:rowOff>
    </xdr:from>
    <xdr:to>
      <xdr:col>6</xdr:col>
      <xdr:colOff>371475</xdr:colOff>
      <xdr:row>11</xdr:row>
      <xdr:rowOff>19050</xdr:rowOff>
    </xdr:to>
    <xdr:pic>
      <xdr:nvPicPr>
        <xdr:cNvPr id="3" name="Graphic 2" descr="Magnifying glass with solid fill">
          <a:extLst>
            <a:ext uri="{FF2B5EF4-FFF2-40B4-BE49-F238E27FC236}">
              <a16:creationId xmlns:a16="http://schemas.microsoft.com/office/drawing/2014/main" id="{C091E171-CBCD-E37C-0524-451EC09CB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4500" y="76200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29</xdr:row>
      <xdr:rowOff>190499</xdr:rowOff>
    </xdr:from>
    <xdr:to>
      <xdr:col>6</xdr:col>
      <xdr:colOff>484801</xdr:colOff>
      <xdr:row>30</xdr:row>
      <xdr:rowOff>179999</xdr:rowOff>
    </xdr:to>
    <xdr:pic>
      <xdr:nvPicPr>
        <xdr:cNvPr id="5" name="Graphic 4" descr="Arrow Right with solid fill">
          <a:extLst>
            <a:ext uri="{FF2B5EF4-FFF2-40B4-BE49-F238E27FC236}">
              <a16:creationId xmlns:a16="http://schemas.microsoft.com/office/drawing/2014/main" id="{0CE88D66-212D-3008-BEF6-777F29573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00651" y="5324474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199668</xdr:colOff>
      <xdr:row>30</xdr:row>
      <xdr:rowOff>10498</xdr:rowOff>
    </xdr:from>
    <xdr:to>
      <xdr:col>0</xdr:col>
      <xdr:colOff>379668</xdr:colOff>
      <xdr:row>30</xdr:row>
      <xdr:rowOff>190498</xdr:rowOff>
    </xdr:to>
    <xdr:pic>
      <xdr:nvPicPr>
        <xdr:cNvPr id="6" name="Graphic 5" descr="Arrow Right with solid fill">
          <a:extLst>
            <a:ext uri="{FF2B5EF4-FFF2-40B4-BE49-F238E27FC236}">
              <a16:creationId xmlns:a16="http://schemas.microsoft.com/office/drawing/2014/main" id="{32081D55-2589-4334-9CE8-682E33CE5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199668" y="5334973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D68F-EBE9-49B2-9D96-CD87990D40A7}">
  <dimension ref="A2:O25"/>
  <sheetViews>
    <sheetView workbookViewId="0">
      <selection activeCell="D14" sqref="D14"/>
    </sheetView>
  </sheetViews>
  <sheetFormatPr defaultRowHeight="15" x14ac:dyDescent="0.25"/>
  <cols>
    <col min="2" max="2" width="15.42578125" customWidth="1"/>
    <col min="3" max="3" width="20.7109375" customWidth="1"/>
    <col min="4" max="4" width="33.7109375" customWidth="1"/>
    <col min="7" max="7" width="15" customWidth="1"/>
    <col min="9" max="9" width="14.42578125" customWidth="1"/>
    <col min="13" max="13" width="23.85546875" customWidth="1"/>
  </cols>
  <sheetData>
    <row r="2" spans="1:15" x14ac:dyDescent="0.25">
      <c r="A2" s="7" t="s">
        <v>4</v>
      </c>
    </row>
    <row r="3" spans="1:15" x14ac:dyDescent="0.25">
      <c r="A3" s="7"/>
    </row>
    <row r="4" spans="1:15" x14ac:dyDescent="0.25">
      <c r="A4" s="7"/>
    </row>
    <row r="5" spans="1:15" x14ac:dyDescent="0.25">
      <c r="A5" s="7"/>
    </row>
    <row r="6" spans="1:15" x14ac:dyDescent="0.25">
      <c r="A6" s="7" t="s">
        <v>11</v>
      </c>
      <c r="C6" s="2" t="s">
        <v>5</v>
      </c>
      <c r="D6" s="1" t="s">
        <v>6</v>
      </c>
      <c r="E6" s="3" t="s">
        <v>7</v>
      </c>
      <c r="G6" s="4" t="s">
        <v>8</v>
      </c>
    </row>
    <row r="10" spans="1:15" x14ac:dyDescent="0.25">
      <c r="A10" t="s">
        <v>94</v>
      </c>
      <c r="B10" t="s">
        <v>3</v>
      </c>
      <c r="J10" s="123" t="s">
        <v>85</v>
      </c>
      <c r="K10" s="123"/>
      <c r="L10" s="123"/>
      <c r="M10" t="s">
        <v>86</v>
      </c>
    </row>
    <row r="11" spans="1:15" x14ac:dyDescent="0.25">
      <c r="A11" t="s">
        <v>2</v>
      </c>
      <c r="B11" t="s">
        <v>3</v>
      </c>
      <c r="G11" s="120" t="s">
        <v>12</v>
      </c>
      <c r="H11" s="121"/>
      <c r="I11" s="122"/>
      <c r="J11" s="120" t="s">
        <v>13</v>
      </c>
      <c r="K11" s="121"/>
      <c r="L11" s="122"/>
      <c r="M11" s="5" t="s">
        <v>17</v>
      </c>
    </row>
    <row r="12" spans="1:15" x14ac:dyDescent="0.25">
      <c r="C12" t="s">
        <v>0</v>
      </c>
      <c r="D12" t="s">
        <v>1</v>
      </c>
      <c r="E12" t="s">
        <v>9</v>
      </c>
      <c r="F12" t="s">
        <v>10</v>
      </c>
      <c r="G12" t="s">
        <v>18</v>
      </c>
      <c r="H12" t="s">
        <v>19</v>
      </c>
      <c r="I12" t="s">
        <v>20</v>
      </c>
      <c r="J12" t="s">
        <v>14</v>
      </c>
      <c r="K12" t="s">
        <v>15</v>
      </c>
      <c r="L12" t="s">
        <v>16</v>
      </c>
    </row>
    <row r="14" spans="1:15" x14ac:dyDescent="0.25">
      <c r="D14" t="s">
        <v>21</v>
      </c>
      <c r="E14">
        <v>1</v>
      </c>
      <c r="F14">
        <f>E14*55</f>
        <v>55</v>
      </c>
      <c r="G14">
        <f>F14*1.2</f>
        <v>66</v>
      </c>
      <c r="H14">
        <f>F14*1.4</f>
        <v>77</v>
      </c>
      <c r="O14" t="s">
        <v>26</v>
      </c>
    </row>
    <row r="18" spans="1:2" x14ac:dyDescent="0.25">
      <c r="A18" s="7" t="s">
        <v>73</v>
      </c>
    </row>
    <row r="19" spans="1:2" x14ac:dyDescent="0.25">
      <c r="A19" s="7" t="s">
        <v>72</v>
      </c>
    </row>
    <row r="23" spans="1:2" x14ac:dyDescent="0.25">
      <c r="A23" t="s">
        <v>93</v>
      </c>
    </row>
    <row r="24" spans="1:2" x14ac:dyDescent="0.25">
      <c r="B24" t="s">
        <v>94</v>
      </c>
    </row>
    <row r="25" spans="1:2" x14ac:dyDescent="0.25">
      <c r="B25" t="s">
        <v>3</v>
      </c>
    </row>
  </sheetData>
  <mergeCells count="3">
    <mergeCell ref="G11:I11"/>
    <mergeCell ref="J11:L11"/>
    <mergeCell ref="J10:L10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E0EF-6B3B-4110-BC1D-075C486C2B22}">
  <dimension ref="A1:K27"/>
  <sheetViews>
    <sheetView workbookViewId="0">
      <selection activeCell="B6" sqref="B6"/>
    </sheetView>
  </sheetViews>
  <sheetFormatPr defaultRowHeight="15" x14ac:dyDescent="0.25"/>
  <cols>
    <col min="1" max="1" width="11.28515625" customWidth="1"/>
    <col min="2" max="2" width="15.85546875" customWidth="1"/>
    <col min="3" max="3" width="15.7109375" customWidth="1"/>
    <col min="4" max="4" width="11.5703125" bestFit="1" customWidth="1"/>
    <col min="5" max="5" width="13.140625" bestFit="1" customWidth="1"/>
    <col min="6" max="7" width="10.7109375" customWidth="1"/>
  </cols>
  <sheetData>
    <row r="1" spans="1:11" x14ac:dyDescent="0.25">
      <c r="A1" t="s">
        <v>153</v>
      </c>
    </row>
    <row r="2" spans="1:11" x14ac:dyDescent="0.25">
      <c r="B2" t="s">
        <v>150</v>
      </c>
    </row>
    <row r="3" spans="1:11" x14ac:dyDescent="0.25">
      <c r="B3" t="s">
        <v>154</v>
      </c>
    </row>
    <row r="4" spans="1:11" x14ac:dyDescent="0.25">
      <c r="B4" t="s">
        <v>152</v>
      </c>
    </row>
    <row r="5" spans="1:11" x14ac:dyDescent="0.25">
      <c r="B5" t="s">
        <v>83</v>
      </c>
    </row>
    <row r="7" spans="1:11" x14ac:dyDescent="0.25">
      <c r="A7" t="s">
        <v>164</v>
      </c>
    </row>
    <row r="8" spans="1:11" x14ac:dyDescent="0.25">
      <c r="B8" t="s">
        <v>169</v>
      </c>
    </row>
    <row r="9" spans="1:11" x14ac:dyDescent="0.25">
      <c r="C9" t="s">
        <v>165</v>
      </c>
      <c r="D9" t="s">
        <v>166</v>
      </c>
      <c r="E9" t="s">
        <v>167</v>
      </c>
      <c r="F9" t="s">
        <v>168</v>
      </c>
    </row>
    <row r="11" spans="1:11" x14ac:dyDescent="0.25">
      <c r="A11" t="s">
        <v>76</v>
      </c>
    </row>
    <row r="12" spans="1:11" x14ac:dyDescent="0.25">
      <c r="B12" t="s">
        <v>83</v>
      </c>
    </row>
    <row r="13" spans="1:11" x14ac:dyDescent="0.25">
      <c r="C13" t="s">
        <v>171</v>
      </c>
      <c r="D13" t="s">
        <v>146</v>
      </c>
      <c r="E13" t="s">
        <v>172</v>
      </c>
      <c r="F13" t="s">
        <v>148</v>
      </c>
      <c r="G13" t="s">
        <v>149</v>
      </c>
      <c r="H13" t="s">
        <v>170</v>
      </c>
      <c r="I13" t="s">
        <v>147</v>
      </c>
      <c r="J13" t="s">
        <v>127</v>
      </c>
      <c r="K13" s="16" t="s">
        <v>173</v>
      </c>
    </row>
    <row r="16" spans="1:11" x14ac:dyDescent="0.25">
      <c r="B16" t="s">
        <v>82</v>
      </c>
    </row>
    <row r="19" spans="1:2" x14ac:dyDescent="0.25">
      <c r="A19" t="s">
        <v>150</v>
      </c>
    </row>
    <row r="20" spans="1:2" x14ac:dyDescent="0.25">
      <c r="B20" t="s">
        <v>151</v>
      </c>
    </row>
    <row r="21" spans="1:2" x14ac:dyDescent="0.25">
      <c r="B21" t="s">
        <v>152</v>
      </c>
    </row>
    <row r="23" spans="1:2" x14ac:dyDescent="0.25">
      <c r="A23" t="s">
        <v>312</v>
      </c>
    </row>
    <row r="24" spans="1:2" x14ac:dyDescent="0.25">
      <c r="A24" t="s">
        <v>313</v>
      </c>
      <c r="B24" t="s">
        <v>314</v>
      </c>
    </row>
    <row r="27" spans="1:2" x14ac:dyDescent="0.25">
      <c r="A27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6931-8F9E-47FF-BF44-0ECD8F370B82}">
  <dimension ref="A1:P28"/>
  <sheetViews>
    <sheetView topLeftCell="A12" workbookViewId="0">
      <selection activeCell="N22" sqref="N22"/>
    </sheetView>
  </sheetViews>
  <sheetFormatPr defaultRowHeight="15" x14ac:dyDescent="0.25"/>
  <cols>
    <col min="2" max="2" width="25" customWidth="1"/>
    <col min="3" max="3" width="14" bestFit="1" customWidth="1"/>
    <col min="4" max="4" width="13.28515625" customWidth="1"/>
    <col min="5" max="5" width="11.42578125" customWidth="1"/>
    <col min="6" max="6" width="13.140625" customWidth="1"/>
    <col min="11" max="11" width="13.140625" customWidth="1"/>
    <col min="12" max="12" width="11.5703125" customWidth="1"/>
  </cols>
  <sheetData>
    <row r="1" spans="1:16" x14ac:dyDescent="0.25">
      <c r="A1" s="7" t="s">
        <v>140</v>
      </c>
      <c r="B1" s="7" t="s">
        <v>155</v>
      </c>
    </row>
    <row r="3" spans="1:16" x14ac:dyDescent="0.25">
      <c r="A3" t="s">
        <v>153</v>
      </c>
    </row>
    <row r="4" spans="1:16" x14ac:dyDescent="0.25">
      <c r="B4" t="s">
        <v>150</v>
      </c>
    </row>
    <row r="5" spans="1:16" x14ac:dyDescent="0.25">
      <c r="C5" t="s">
        <v>154</v>
      </c>
      <c r="D5" t="s">
        <v>152</v>
      </c>
    </row>
    <row r="6" spans="1:16" ht="15.75" thickBot="1" x14ac:dyDescent="0.3"/>
    <row r="7" spans="1:16" ht="15.75" thickBot="1" x14ac:dyDescent="0.3">
      <c r="D7" s="125" t="s">
        <v>118</v>
      </c>
      <c r="E7" s="126"/>
      <c r="F7" s="127"/>
    </row>
    <row r="8" spans="1:16" ht="15.75" thickBot="1" x14ac:dyDescent="0.3">
      <c r="B8" s="18" t="s">
        <v>1</v>
      </c>
      <c r="C8" s="18" t="s">
        <v>156</v>
      </c>
      <c r="D8" s="18" t="s">
        <v>157</v>
      </c>
      <c r="E8" s="18" t="s">
        <v>158</v>
      </c>
      <c r="F8" s="18" t="s">
        <v>159</v>
      </c>
    </row>
    <row r="10" spans="1:16" x14ac:dyDescent="0.25">
      <c r="B10" t="s">
        <v>162</v>
      </c>
      <c r="C10">
        <f>150</f>
        <v>150</v>
      </c>
      <c r="D10" s="6">
        <f>N22</f>
        <v>90.25</v>
      </c>
      <c r="E10" s="6">
        <f>O22</f>
        <v>91.2</v>
      </c>
      <c r="F10" s="6">
        <f>P22</f>
        <v>91.2</v>
      </c>
    </row>
    <row r="16" spans="1:16" x14ac:dyDescent="0.25">
      <c r="K16" s="16" t="s">
        <v>176</v>
      </c>
      <c r="N16" s="19"/>
      <c r="O16" s="19"/>
      <c r="P16" s="19"/>
    </row>
    <row r="18" spans="11:16" x14ac:dyDescent="0.25">
      <c r="K18" s="16" t="s">
        <v>177</v>
      </c>
      <c r="N18" s="15">
        <v>0.05</v>
      </c>
      <c r="O18" s="15">
        <v>0.04</v>
      </c>
      <c r="P18" s="15">
        <v>0.01</v>
      </c>
    </row>
    <row r="20" spans="11:16" x14ac:dyDescent="0.25">
      <c r="K20" t="s">
        <v>3</v>
      </c>
      <c r="L20" s="7" t="s">
        <v>163</v>
      </c>
      <c r="M20" t="s">
        <v>161</v>
      </c>
      <c r="N20" t="s">
        <v>157</v>
      </c>
      <c r="O20" t="s">
        <v>158</v>
      </c>
      <c r="P20" t="s">
        <v>159</v>
      </c>
    </row>
    <row r="21" spans="11:16" x14ac:dyDescent="0.25">
      <c r="K21" s="124" t="s">
        <v>160</v>
      </c>
      <c r="L21">
        <v>100</v>
      </c>
      <c r="M21">
        <v>100</v>
      </c>
      <c r="N21" s="17">
        <f t="shared" ref="N21:N28" si="0">M21*(100%-$N$18)</f>
        <v>95</v>
      </c>
      <c r="O21" s="17">
        <f t="shared" ref="O21:O28" si="1">M21*(100%-$O$18)</f>
        <v>96</v>
      </c>
      <c r="P21" s="17">
        <f t="shared" ref="P21:P28" si="2">M21*(100%-$O$18)</f>
        <v>96</v>
      </c>
    </row>
    <row r="22" spans="11:16" x14ac:dyDescent="0.25">
      <c r="K22" s="124"/>
      <c r="L22">
        <v>199</v>
      </c>
      <c r="M22">
        <v>95</v>
      </c>
      <c r="N22" s="17">
        <f t="shared" si="0"/>
        <v>90.25</v>
      </c>
      <c r="O22" s="17">
        <f t="shared" si="1"/>
        <v>91.2</v>
      </c>
      <c r="P22" s="17">
        <f t="shared" si="2"/>
        <v>91.2</v>
      </c>
    </row>
    <row r="23" spans="11:16" x14ac:dyDescent="0.25">
      <c r="K23" s="124"/>
      <c r="L23">
        <v>200</v>
      </c>
      <c r="M23">
        <v>90</v>
      </c>
      <c r="N23" s="17">
        <f t="shared" si="0"/>
        <v>85.5</v>
      </c>
      <c r="O23" s="17">
        <f t="shared" si="1"/>
        <v>86.399999999999991</v>
      </c>
      <c r="P23" s="17">
        <f t="shared" si="2"/>
        <v>86.399999999999991</v>
      </c>
    </row>
    <row r="24" spans="11:16" x14ac:dyDescent="0.25">
      <c r="K24" s="124"/>
      <c r="L24">
        <v>299</v>
      </c>
      <c r="M24">
        <v>90</v>
      </c>
      <c r="N24" s="17">
        <f t="shared" si="0"/>
        <v>85.5</v>
      </c>
      <c r="O24" s="17">
        <f t="shared" si="1"/>
        <v>86.399999999999991</v>
      </c>
      <c r="P24" s="17">
        <f t="shared" si="2"/>
        <v>86.399999999999991</v>
      </c>
    </row>
    <row r="25" spans="11:16" x14ac:dyDescent="0.25">
      <c r="K25" s="124"/>
      <c r="L25">
        <v>300</v>
      </c>
      <c r="M25">
        <v>89</v>
      </c>
      <c r="N25" s="17">
        <f t="shared" si="0"/>
        <v>84.55</v>
      </c>
      <c r="O25" s="17">
        <f t="shared" si="1"/>
        <v>85.44</v>
      </c>
      <c r="P25" s="17">
        <f t="shared" si="2"/>
        <v>85.44</v>
      </c>
    </row>
    <row r="26" spans="11:16" x14ac:dyDescent="0.25">
      <c r="K26" s="124"/>
      <c r="L26">
        <v>399</v>
      </c>
      <c r="M26">
        <v>85</v>
      </c>
      <c r="N26" s="17">
        <f t="shared" si="0"/>
        <v>80.75</v>
      </c>
      <c r="O26" s="17">
        <f t="shared" si="1"/>
        <v>81.599999999999994</v>
      </c>
      <c r="P26" s="17">
        <f t="shared" si="2"/>
        <v>81.599999999999994</v>
      </c>
    </row>
    <row r="27" spans="11:16" x14ac:dyDescent="0.25">
      <c r="K27" s="124"/>
      <c r="L27">
        <v>400</v>
      </c>
      <c r="M27">
        <v>84</v>
      </c>
      <c r="N27" s="17">
        <f t="shared" si="0"/>
        <v>79.8</v>
      </c>
      <c r="O27" s="17">
        <f t="shared" si="1"/>
        <v>80.64</v>
      </c>
      <c r="P27" s="17">
        <f t="shared" si="2"/>
        <v>80.64</v>
      </c>
    </row>
    <row r="28" spans="11:16" x14ac:dyDescent="0.25">
      <c r="K28" s="124"/>
      <c r="L28">
        <v>499</v>
      </c>
      <c r="M28">
        <v>80</v>
      </c>
      <c r="N28" s="17">
        <f t="shared" si="0"/>
        <v>76</v>
      </c>
      <c r="O28" s="17">
        <f t="shared" si="1"/>
        <v>76.8</v>
      </c>
      <c r="P28" s="17">
        <f t="shared" si="2"/>
        <v>76.8</v>
      </c>
    </row>
  </sheetData>
  <mergeCells count="2">
    <mergeCell ref="K21:K28"/>
    <mergeCell ref="D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913D-B576-4A46-9090-046D8D9A5CCC}">
  <dimension ref="A1:R31"/>
  <sheetViews>
    <sheetView workbookViewId="0">
      <selection activeCell="L3" sqref="L3:N3"/>
    </sheetView>
  </sheetViews>
  <sheetFormatPr defaultRowHeight="15" outlineLevelCol="1" x14ac:dyDescent="0.25"/>
  <cols>
    <col min="1" max="1" width="9.5703125" customWidth="1"/>
    <col min="2" max="3" width="19.7109375" customWidth="1"/>
    <col min="5" max="5" width="11.5703125" customWidth="1"/>
    <col min="6" max="6" width="9.140625" hidden="1" customWidth="1" outlineLevel="1"/>
    <col min="7" max="7" width="13.140625" hidden="1" customWidth="1" outlineLevel="1"/>
    <col min="8" max="8" width="14.28515625" customWidth="1" collapsed="1"/>
    <col min="9" max="9" width="15.42578125" customWidth="1"/>
    <col min="10" max="10" width="17" customWidth="1"/>
    <col min="11" max="11" width="15.42578125" customWidth="1"/>
    <col min="12" max="12" width="11.140625" customWidth="1"/>
    <col min="13" max="13" width="14.28515625" customWidth="1"/>
  </cols>
  <sheetData>
    <row r="1" spans="1:18" x14ac:dyDescent="0.25">
      <c r="A1" s="8" t="s">
        <v>131</v>
      </c>
      <c r="B1" s="8"/>
      <c r="C1" s="8"/>
      <c r="D1" s="8"/>
      <c r="E1" s="9" t="s">
        <v>119</v>
      </c>
      <c r="F1" s="8"/>
      <c r="G1" s="8"/>
      <c r="H1" s="9" t="s">
        <v>123</v>
      </c>
      <c r="I1" s="8"/>
      <c r="J1" s="8" t="s">
        <v>127</v>
      </c>
      <c r="K1" s="8"/>
      <c r="L1" s="9" t="s">
        <v>137</v>
      </c>
      <c r="M1" s="8"/>
      <c r="N1" t="s">
        <v>130</v>
      </c>
      <c r="P1" t="s">
        <v>130</v>
      </c>
      <c r="R1" t="s">
        <v>140</v>
      </c>
    </row>
    <row r="2" spans="1:18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8" x14ac:dyDescent="0.25">
      <c r="A3" s="10"/>
      <c r="B3" s="10" t="s">
        <v>128</v>
      </c>
      <c r="C3" s="10" t="s">
        <v>129</v>
      </c>
      <c r="D3" s="10" t="s">
        <v>9</v>
      </c>
      <c r="E3" s="13" t="s">
        <v>114</v>
      </c>
      <c r="F3" s="10" t="s">
        <v>115</v>
      </c>
      <c r="G3" s="10" t="s">
        <v>116</v>
      </c>
      <c r="H3" s="13" t="s">
        <v>118</v>
      </c>
      <c r="I3" s="13" t="s">
        <v>120</v>
      </c>
      <c r="J3" s="10"/>
      <c r="K3" s="10"/>
      <c r="L3" s="10" t="s">
        <v>121</v>
      </c>
      <c r="M3" s="10" t="s">
        <v>122</v>
      </c>
      <c r="R3" t="s">
        <v>141</v>
      </c>
    </row>
    <row r="4" spans="1:18" x14ac:dyDescent="0.25">
      <c r="A4" s="10" t="s">
        <v>132</v>
      </c>
      <c r="B4" s="10" t="s">
        <v>113</v>
      </c>
      <c r="C4" s="10"/>
      <c r="D4" s="10" t="s">
        <v>112</v>
      </c>
      <c r="E4" s="13">
        <v>100</v>
      </c>
      <c r="F4" s="10">
        <f>110</f>
        <v>110</v>
      </c>
      <c r="G4" s="10">
        <f>F4*E4</f>
        <v>11000</v>
      </c>
      <c r="H4" s="14">
        <v>450</v>
      </c>
      <c r="I4" s="14">
        <f>H4*E4</f>
        <v>45000</v>
      </c>
      <c r="J4" s="10" t="s">
        <v>117</v>
      </c>
      <c r="K4" s="10"/>
      <c r="L4" s="11">
        <v>460</v>
      </c>
      <c r="M4" s="11">
        <v>450</v>
      </c>
      <c r="N4" s="8" t="s">
        <v>125</v>
      </c>
      <c r="P4" s="8" t="s">
        <v>126</v>
      </c>
    </row>
    <row r="5" spans="1:18" x14ac:dyDescent="0.25">
      <c r="A5" s="10"/>
      <c r="B5" s="10"/>
      <c r="C5" s="10"/>
      <c r="D5" s="10"/>
      <c r="E5" s="12">
        <f>G4</f>
        <v>11000</v>
      </c>
      <c r="F5" s="12"/>
      <c r="G5" s="12"/>
      <c r="H5" s="12" t="s">
        <v>124</v>
      </c>
      <c r="I5" s="10"/>
      <c r="J5" s="10"/>
      <c r="K5" s="10"/>
      <c r="L5" s="10"/>
      <c r="M5" s="10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/>
      <c r="B18" s="8"/>
      <c r="C18" s="8"/>
      <c r="D18" s="8"/>
      <c r="E18" s="8"/>
      <c r="F18" s="8"/>
      <c r="G18" s="8"/>
      <c r="H18" s="8"/>
      <c r="I18" s="8"/>
      <c r="J18" s="8" t="s">
        <v>138</v>
      </c>
      <c r="K18" s="8" t="s">
        <v>139</v>
      </c>
      <c r="L18" s="8"/>
      <c r="M18" s="8"/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3" spans="1:13" x14ac:dyDescent="0.25">
      <c r="B23" t="s">
        <v>118</v>
      </c>
    </row>
    <row r="24" spans="1:13" x14ac:dyDescent="0.25">
      <c r="C24" t="s">
        <v>83</v>
      </c>
      <c r="D24" t="s">
        <v>145</v>
      </c>
    </row>
    <row r="26" spans="1:13" x14ac:dyDescent="0.25">
      <c r="C26" t="s">
        <v>82</v>
      </c>
    </row>
    <row r="31" spans="1:13" x14ac:dyDescent="0.25">
      <c r="C31" t="s">
        <v>178</v>
      </c>
      <c r="H31" t="s">
        <v>174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FCD5-759B-4D8C-8C73-4BC8047093DC}">
  <dimension ref="B2:P40"/>
  <sheetViews>
    <sheetView workbookViewId="0">
      <selection activeCell="B6" sqref="B6"/>
    </sheetView>
  </sheetViews>
  <sheetFormatPr defaultRowHeight="15" x14ac:dyDescent="0.25"/>
  <cols>
    <col min="2" max="2" width="20.85546875" customWidth="1"/>
    <col min="3" max="3" width="16.42578125" customWidth="1"/>
    <col min="4" max="4" width="18.85546875" customWidth="1"/>
    <col min="5" max="5" width="16.5703125" customWidth="1"/>
    <col min="6" max="6" width="17.7109375" customWidth="1"/>
    <col min="8" max="8" width="15.85546875" customWidth="1"/>
  </cols>
  <sheetData>
    <row r="2" spans="2:6" x14ac:dyDescent="0.25">
      <c r="B2" s="108" t="s">
        <v>422</v>
      </c>
      <c r="C2" s="60"/>
      <c r="D2" s="107" t="s">
        <v>423</v>
      </c>
      <c r="E2" s="60"/>
    </row>
    <row r="5" spans="2:6" ht="23.25" x14ac:dyDescent="0.35">
      <c r="B5" s="93" t="s">
        <v>459</v>
      </c>
      <c r="E5" t="s">
        <v>431</v>
      </c>
    </row>
    <row r="8" spans="2:6" x14ac:dyDescent="0.25">
      <c r="B8" t="s">
        <v>441</v>
      </c>
      <c r="D8" t="s">
        <v>440</v>
      </c>
      <c r="E8" t="s">
        <v>438</v>
      </c>
      <c r="F8" t="s">
        <v>439</v>
      </c>
    </row>
    <row r="11" spans="2:6" ht="21" customHeight="1" x14ac:dyDescent="0.25">
      <c r="B11" s="89"/>
      <c r="C11" s="90"/>
      <c r="D11" s="90"/>
      <c r="E11" s="90"/>
      <c r="F11" s="91"/>
    </row>
    <row r="13" spans="2:6" x14ac:dyDescent="0.25">
      <c r="B13" s="16" t="s">
        <v>443</v>
      </c>
    </row>
    <row r="14" spans="2:6" x14ac:dyDescent="0.25">
      <c r="B14" s="16"/>
    </row>
    <row r="15" spans="2:6" x14ac:dyDescent="0.25">
      <c r="B15" s="92" t="s">
        <v>83</v>
      </c>
      <c r="C15" s="105" t="s">
        <v>429</v>
      </c>
      <c r="E15" s="92" t="s">
        <v>154</v>
      </c>
      <c r="F15" s="26" t="s">
        <v>429</v>
      </c>
    </row>
    <row r="17" spans="2:16" x14ac:dyDescent="0.25">
      <c r="B17" s="88" t="s">
        <v>425</v>
      </c>
      <c r="E17" s="88" t="s">
        <v>425</v>
      </c>
      <c r="P17" t="s">
        <v>437</v>
      </c>
    </row>
    <row r="19" spans="2:16" x14ac:dyDescent="0.25">
      <c r="B19" s="22" t="s">
        <v>157</v>
      </c>
      <c r="E19" s="22" t="s">
        <v>91</v>
      </c>
    </row>
    <row r="20" spans="2:16" x14ac:dyDescent="0.25">
      <c r="B20" s="22"/>
      <c r="E20" s="22"/>
    </row>
    <row r="21" spans="2:16" x14ac:dyDescent="0.25">
      <c r="B21" s="22" t="s">
        <v>421</v>
      </c>
      <c r="E21" s="22" t="s">
        <v>442</v>
      </c>
    </row>
    <row r="22" spans="2:16" x14ac:dyDescent="0.25">
      <c r="B22" s="22"/>
      <c r="E22" s="22"/>
    </row>
    <row r="23" spans="2:16" x14ac:dyDescent="0.25">
      <c r="B23" s="22" t="s">
        <v>158</v>
      </c>
      <c r="E23" s="22" t="s">
        <v>142</v>
      </c>
    </row>
    <row r="24" spans="2:16" x14ac:dyDescent="0.25">
      <c r="B24" s="22"/>
      <c r="C24" s="16"/>
    </row>
    <row r="25" spans="2:16" x14ac:dyDescent="0.25">
      <c r="B25" s="88" t="s">
        <v>424</v>
      </c>
      <c r="E25" s="88" t="s">
        <v>424</v>
      </c>
    </row>
    <row r="26" spans="2:16" x14ac:dyDescent="0.25">
      <c r="B26" s="22"/>
    </row>
    <row r="27" spans="2:16" x14ac:dyDescent="0.25">
      <c r="B27" s="22"/>
    </row>
    <row r="28" spans="2:16" x14ac:dyDescent="0.25">
      <c r="B28" s="22"/>
    </row>
    <row r="29" spans="2:16" x14ac:dyDescent="0.25">
      <c r="B29" s="22"/>
      <c r="C29" s="22"/>
      <c r="E29" s="22" t="s">
        <v>435</v>
      </c>
      <c r="G29" s="22" t="s">
        <v>436</v>
      </c>
      <c r="H29" s="22"/>
      <c r="I29" s="22"/>
      <c r="J29" s="22"/>
      <c r="K29" s="22"/>
      <c r="L29" s="88"/>
    </row>
    <row r="30" spans="2:16" x14ac:dyDescent="0.25">
      <c r="B30" s="22"/>
    </row>
    <row r="31" spans="2:16" ht="15.75" thickBot="1" x14ac:dyDescent="0.3">
      <c r="B31" s="22"/>
    </row>
    <row r="32" spans="2:16" x14ac:dyDescent="0.25">
      <c r="B32" s="95"/>
      <c r="C32" s="96"/>
      <c r="D32" s="96"/>
      <c r="E32" s="97"/>
    </row>
    <row r="33" spans="2:5" x14ac:dyDescent="0.25">
      <c r="B33" s="98"/>
      <c r="E33" s="99"/>
    </row>
    <row r="34" spans="2:5" x14ac:dyDescent="0.25">
      <c r="B34" s="98"/>
      <c r="E34" s="99"/>
    </row>
    <row r="35" spans="2:5" x14ac:dyDescent="0.25">
      <c r="B35" s="100"/>
      <c r="C35" s="94"/>
      <c r="D35" s="94"/>
      <c r="E35" s="101"/>
    </row>
    <row r="36" spans="2:5" x14ac:dyDescent="0.25">
      <c r="B36" s="98"/>
      <c r="E36" s="99"/>
    </row>
    <row r="37" spans="2:5" x14ac:dyDescent="0.25">
      <c r="B37" s="98"/>
      <c r="E37" s="99"/>
    </row>
    <row r="38" spans="2:5" x14ac:dyDescent="0.25">
      <c r="B38" s="98"/>
      <c r="E38" s="99"/>
    </row>
    <row r="39" spans="2:5" x14ac:dyDescent="0.25">
      <c r="B39" s="98"/>
      <c r="E39" s="99"/>
    </row>
    <row r="40" spans="2:5" ht="15.75" thickBot="1" x14ac:dyDescent="0.3">
      <c r="B40" s="102"/>
      <c r="C40" s="103"/>
      <c r="D40" s="103"/>
      <c r="E40" s="104"/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F35B-29ED-43BD-B607-C6B148B910A1}">
  <dimension ref="B2:P42"/>
  <sheetViews>
    <sheetView zoomScale="70" zoomScaleNormal="70" workbookViewId="0">
      <selection activeCell="J27" sqref="J26:J27"/>
    </sheetView>
  </sheetViews>
  <sheetFormatPr defaultRowHeight="15" x14ac:dyDescent="0.25"/>
  <cols>
    <col min="2" max="2" width="20.85546875" customWidth="1"/>
    <col min="3" max="3" width="16.42578125" customWidth="1"/>
    <col min="4" max="4" width="18.85546875" customWidth="1"/>
    <col min="5" max="5" width="16.5703125" customWidth="1"/>
    <col min="6" max="6" width="17.7109375" customWidth="1"/>
    <col min="8" max="8" width="15.85546875" customWidth="1"/>
    <col min="12" max="12" width="11.42578125" bestFit="1" customWidth="1"/>
  </cols>
  <sheetData>
    <row r="2" spans="2:6" x14ac:dyDescent="0.25">
      <c r="B2" t="s">
        <v>422</v>
      </c>
      <c r="C2" s="60"/>
      <c r="D2" t="s">
        <v>423</v>
      </c>
      <c r="E2" s="60"/>
    </row>
    <row r="5" spans="2:6" ht="23.25" x14ac:dyDescent="0.35">
      <c r="B5" s="93" t="s">
        <v>430</v>
      </c>
      <c r="E5" s="106" t="s">
        <v>431</v>
      </c>
    </row>
    <row r="8" spans="2:6" x14ac:dyDescent="0.25">
      <c r="B8" t="s">
        <v>441</v>
      </c>
      <c r="D8" t="s">
        <v>440</v>
      </c>
      <c r="E8" t="s">
        <v>438</v>
      </c>
      <c r="F8" t="s">
        <v>439</v>
      </c>
    </row>
    <row r="11" spans="2:6" ht="21" customHeight="1" x14ac:dyDescent="0.25">
      <c r="B11" s="89"/>
      <c r="C11" s="90"/>
      <c r="D11" s="90"/>
      <c r="E11" s="90"/>
      <c r="F11" s="91"/>
    </row>
    <row r="13" spans="2:6" x14ac:dyDescent="0.25">
      <c r="E13" s="16"/>
    </row>
    <row r="14" spans="2:6" x14ac:dyDescent="0.25">
      <c r="B14" s="92" t="s">
        <v>428</v>
      </c>
      <c r="C14" s="105" t="s">
        <v>429</v>
      </c>
      <c r="E14" s="92" t="s">
        <v>83</v>
      </c>
      <c r="F14" s="26" t="s">
        <v>429</v>
      </c>
    </row>
    <row r="16" spans="2:6" x14ac:dyDescent="0.25">
      <c r="B16" s="88" t="s">
        <v>425</v>
      </c>
      <c r="C16" s="16" t="s">
        <v>433</v>
      </c>
      <c r="E16" s="88" t="s">
        <v>425</v>
      </c>
      <c r="F16" s="16" t="s">
        <v>433</v>
      </c>
    </row>
    <row r="17" spans="2:16" x14ac:dyDescent="0.25">
      <c r="B17" s="22"/>
      <c r="E17" s="22"/>
    </row>
    <row r="18" spans="2:16" x14ac:dyDescent="0.25">
      <c r="B18" s="22" t="s">
        <v>426</v>
      </c>
      <c r="E18" s="22" t="s">
        <v>157</v>
      </c>
      <c r="P18" t="s">
        <v>437</v>
      </c>
    </row>
    <row r="19" spans="2:16" x14ac:dyDescent="0.25">
      <c r="B19" s="22"/>
      <c r="E19" s="22"/>
    </row>
    <row r="20" spans="2:16" x14ac:dyDescent="0.25">
      <c r="B20" s="22"/>
      <c r="E20" s="22"/>
      <c r="L20" s="17"/>
    </row>
    <row r="21" spans="2:16" x14ac:dyDescent="0.25">
      <c r="B21" s="22" t="s">
        <v>427</v>
      </c>
      <c r="E21" s="22" t="s">
        <v>421</v>
      </c>
    </row>
    <row r="22" spans="2:16" x14ac:dyDescent="0.25">
      <c r="B22" s="22"/>
      <c r="E22" s="22"/>
    </row>
    <row r="23" spans="2:16" x14ac:dyDescent="0.25">
      <c r="B23" s="22"/>
      <c r="E23" s="22"/>
    </row>
    <row r="24" spans="2:16" x14ac:dyDescent="0.25">
      <c r="B24" s="22" t="s">
        <v>32</v>
      </c>
      <c r="E24" s="22" t="s">
        <v>158</v>
      </c>
    </row>
    <row r="25" spans="2:16" x14ac:dyDescent="0.25">
      <c r="B25" s="22"/>
      <c r="E25" s="22"/>
    </row>
    <row r="26" spans="2:16" x14ac:dyDescent="0.25">
      <c r="B26" s="88" t="s">
        <v>424</v>
      </c>
      <c r="C26" s="16" t="s">
        <v>433</v>
      </c>
      <c r="E26" s="88" t="s">
        <v>424</v>
      </c>
      <c r="F26" s="16" t="s">
        <v>433</v>
      </c>
    </row>
    <row r="27" spans="2:16" x14ac:dyDescent="0.25">
      <c r="B27" s="22"/>
    </row>
    <row r="28" spans="2:16" x14ac:dyDescent="0.25">
      <c r="B28" s="22"/>
    </row>
    <row r="29" spans="2:16" x14ac:dyDescent="0.25">
      <c r="B29" s="22"/>
    </row>
    <row r="30" spans="2:16" x14ac:dyDescent="0.25">
      <c r="B30" s="22"/>
    </row>
    <row r="31" spans="2:16" x14ac:dyDescent="0.25">
      <c r="B31" s="22" t="s">
        <v>434</v>
      </c>
      <c r="C31" s="22"/>
      <c r="D31" s="22" t="s">
        <v>435</v>
      </c>
      <c r="F31" s="22" t="s">
        <v>436</v>
      </c>
      <c r="G31" s="22"/>
      <c r="I31" s="22"/>
      <c r="J31" s="22"/>
      <c r="K31" s="22"/>
      <c r="L31" s="88"/>
    </row>
    <row r="32" spans="2:16" x14ac:dyDescent="0.25">
      <c r="B32" s="22"/>
    </row>
    <row r="33" spans="2:5" ht="15.75" thickBot="1" x14ac:dyDescent="0.3">
      <c r="B33" s="22"/>
    </row>
    <row r="34" spans="2:5" x14ac:dyDescent="0.25">
      <c r="B34" s="95"/>
      <c r="C34" s="96"/>
      <c r="D34" s="96"/>
      <c r="E34" s="97"/>
    </row>
    <row r="35" spans="2:5" x14ac:dyDescent="0.25">
      <c r="B35" s="98"/>
      <c r="E35" s="99"/>
    </row>
    <row r="36" spans="2:5" x14ac:dyDescent="0.25">
      <c r="B36" s="98"/>
      <c r="E36" s="99"/>
    </row>
    <row r="37" spans="2:5" x14ac:dyDescent="0.25">
      <c r="B37" s="100" t="s">
        <v>432</v>
      </c>
      <c r="C37" s="94"/>
      <c r="D37" s="94"/>
      <c r="E37" s="101"/>
    </row>
    <row r="38" spans="2:5" x14ac:dyDescent="0.25">
      <c r="B38" s="98"/>
      <c r="E38" s="99"/>
    </row>
    <row r="39" spans="2:5" x14ac:dyDescent="0.25">
      <c r="B39" s="98"/>
      <c r="E39" s="99"/>
    </row>
    <row r="40" spans="2:5" x14ac:dyDescent="0.25">
      <c r="B40" s="98"/>
      <c r="E40" s="99"/>
    </row>
    <row r="41" spans="2:5" x14ac:dyDescent="0.25">
      <c r="B41" s="98"/>
      <c r="E41" s="99"/>
    </row>
    <row r="42" spans="2:5" ht="15.75" thickBot="1" x14ac:dyDescent="0.3">
      <c r="B42" s="102"/>
      <c r="C42" s="103"/>
      <c r="D42" s="103"/>
      <c r="E42" s="104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D9E-B81E-4EE8-A2B3-C3332648B4AA}">
  <dimension ref="A1:H84"/>
  <sheetViews>
    <sheetView workbookViewId="0">
      <selection activeCell="C50" sqref="C2:G50"/>
    </sheetView>
  </sheetViews>
  <sheetFormatPr defaultRowHeight="15" x14ac:dyDescent="0.25"/>
  <cols>
    <col min="2" max="2" width="31.7109375" customWidth="1"/>
    <col min="3" max="3" width="16.28515625" customWidth="1"/>
    <col min="4" max="4" width="14.7109375" customWidth="1"/>
    <col min="5" max="5" width="24.28515625" customWidth="1"/>
    <col min="6" max="6" width="16.28515625" customWidth="1"/>
    <col min="7" max="7" width="11.5703125" customWidth="1"/>
    <col min="8" max="8" width="28.42578125" customWidth="1"/>
    <col min="9" max="19" width="11.5703125" customWidth="1"/>
    <col min="21" max="21" width="11.42578125" customWidth="1"/>
    <col min="22" max="22" width="12.5703125" customWidth="1"/>
  </cols>
  <sheetData>
    <row r="1" spans="1:8" x14ac:dyDescent="0.25">
      <c r="A1" t="s">
        <v>460</v>
      </c>
      <c r="B1" t="s">
        <v>409</v>
      </c>
      <c r="C1" t="s">
        <v>154</v>
      </c>
      <c r="H1" s="4" t="s">
        <v>458</v>
      </c>
    </row>
    <row r="2" spans="1:8" x14ac:dyDescent="0.25">
      <c r="A2" t="s">
        <v>461</v>
      </c>
      <c r="B2" t="s">
        <v>52</v>
      </c>
      <c r="C2" t="s">
        <v>19</v>
      </c>
      <c r="D2" t="s">
        <v>87</v>
      </c>
      <c r="E2" t="s">
        <v>18</v>
      </c>
      <c r="F2" t="s">
        <v>175</v>
      </c>
    </row>
    <row r="3" spans="1:8" x14ac:dyDescent="0.25">
      <c r="B3" t="s">
        <v>102</v>
      </c>
      <c r="C3" t="s">
        <v>103</v>
      </c>
      <c r="D3" t="s">
        <v>104</v>
      </c>
    </row>
    <row r="4" spans="1:8" x14ac:dyDescent="0.25">
      <c r="B4" t="s">
        <v>22</v>
      </c>
    </row>
    <row r="5" spans="1:8" x14ac:dyDescent="0.25">
      <c r="B5" t="s">
        <v>23</v>
      </c>
    </row>
    <row r="6" spans="1:8" x14ac:dyDescent="0.25">
      <c r="B6" t="s">
        <v>24</v>
      </c>
    </row>
    <row r="7" spans="1:8" x14ac:dyDescent="0.25">
      <c r="B7" t="s">
        <v>27</v>
      </c>
    </row>
    <row r="8" spans="1:8" x14ac:dyDescent="0.25">
      <c r="B8" t="s">
        <v>68</v>
      </c>
      <c r="C8" t="s">
        <v>108</v>
      </c>
      <c r="D8" t="s">
        <v>109</v>
      </c>
    </row>
    <row r="9" spans="1:8" x14ac:dyDescent="0.25">
      <c r="B9" t="s">
        <v>29</v>
      </c>
      <c r="C9" t="s">
        <v>88</v>
      </c>
    </row>
    <row r="10" spans="1:8" x14ac:dyDescent="0.25">
      <c r="B10" t="s">
        <v>25</v>
      </c>
      <c r="C10" t="s">
        <v>89</v>
      </c>
      <c r="D10" t="s">
        <v>105</v>
      </c>
      <c r="E10" t="s">
        <v>374</v>
      </c>
      <c r="F10" t="s">
        <v>375</v>
      </c>
      <c r="G10" t="s">
        <v>376</v>
      </c>
    </row>
    <row r="11" spans="1:8" x14ac:dyDescent="0.25">
      <c r="B11" t="s">
        <v>30</v>
      </c>
    </row>
    <row r="12" spans="1:8" x14ac:dyDescent="0.25">
      <c r="B12" t="s">
        <v>28</v>
      </c>
    </row>
    <row r="13" spans="1:8" x14ac:dyDescent="0.25">
      <c r="B13" t="s">
        <v>31</v>
      </c>
      <c r="C13" t="s">
        <v>91</v>
      </c>
      <c r="D13" t="s">
        <v>92</v>
      </c>
      <c r="E13" t="s">
        <v>143</v>
      </c>
      <c r="F13" t="s">
        <v>144</v>
      </c>
    </row>
    <row r="14" spans="1:8" x14ac:dyDescent="0.25">
      <c r="B14" t="s">
        <v>32</v>
      </c>
      <c r="C14" t="s">
        <v>91</v>
      </c>
      <c r="D14" t="s">
        <v>100</v>
      </c>
      <c r="E14" t="s">
        <v>101</v>
      </c>
    </row>
    <row r="15" spans="1:8" x14ac:dyDescent="0.25">
      <c r="B15" t="s">
        <v>33</v>
      </c>
    </row>
    <row r="16" spans="1:8" x14ac:dyDescent="0.25">
      <c r="B16" t="s">
        <v>34</v>
      </c>
    </row>
    <row r="17" spans="2:4" x14ac:dyDescent="0.25">
      <c r="B17" t="s">
        <v>35</v>
      </c>
      <c r="C17" t="s">
        <v>373</v>
      </c>
    </row>
    <row r="18" spans="2:4" x14ac:dyDescent="0.25">
      <c r="B18" t="s">
        <v>36</v>
      </c>
    </row>
    <row r="19" spans="2:4" x14ac:dyDescent="0.25">
      <c r="B19" t="s">
        <v>37</v>
      </c>
      <c r="C19" t="s">
        <v>110</v>
      </c>
      <c r="D19" t="s">
        <v>111</v>
      </c>
    </row>
    <row r="20" spans="2:4" x14ac:dyDescent="0.25">
      <c r="B20" t="s">
        <v>38</v>
      </c>
    </row>
    <row r="21" spans="2:4" x14ac:dyDescent="0.25">
      <c r="B21" t="s">
        <v>45</v>
      </c>
      <c r="C21" t="s">
        <v>372</v>
      </c>
    </row>
    <row r="22" spans="2:4" x14ac:dyDescent="0.25">
      <c r="B22" t="s">
        <v>39</v>
      </c>
      <c r="C22" t="s">
        <v>450</v>
      </c>
    </row>
    <row r="23" spans="2:4" x14ac:dyDescent="0.25">
      <c r="B23" t="s">
        <v>40</v>
      </c>
      <c r="C23" t="s">
        <v>90</v>
      </c>
      <c r="D23" t="s">
        <v>106</v>
      </c>
    </row>
    <row r="24" spans="2:4" x14ac:dyDescent="0.25">
      <c r="B24" t="s">
        <v>41</v>
      </c>
      <c r="C24" t="s">
        <v>107</v>
      </c>
    </row>
    <row r="25" spans="2:4" x14ac:dyDescent="0.25">
      <c r="B25" t="s">
        <v>42</v>
      </c>
    </row>
    <row r="26" spans="2:4" x14ac:dyDescent="0.25">
      <c r="B26" t="s">
        <v>43</v>
      </c>
    </row>
    <row r="27" spans="2:4" x14ac:dyDescent="0.25">
      <c r="B27" t="s">
        <v>44</v>
      </c>
      <c r="C27" t="s">
        <v>451</v>
      </c>
      <c r="D27" t="s">
        <v>452</v>
      </c>
    </row>
    <row r="28" spans="2:4" x14ac:dyDescent="0.25">
      <c r="B28" t="s">
        <v>46</v>
      </c>
      <c r="C28" t="s">
        <v>306</v>
      </c>
      <c r="D28" t="s">
        <v>307</v>
      </c>
    </row>
    <row r="29" spans="2:4" x14ac:dyDescent="0.25">
      <c r="B29" t="s">
        <v>47</v>
      </c>
    </row>
    <row r="30" spans="2:4" x14ac:dyDescent="0.25">
      <c r="B30" t="s">
        <v>48</v>
      </c>
    </row>
    <row r="31" spans="2:4" x14ac:dyDescent="0.25">
      <c r="B31" t="s">
        <v>49</v>
      </c>
    </row>
    <row r="32" spans="2:4" x14ac:dyDescent="0.25">
      <c r="B32" t="s">
        <v>50</v>
      </c>
      <c r="C32" t="s">
        <v>453</v>
      </c>
    </row>
    <row r="33" spans="2:4" x14ac:dyDescent="0.25">
      <c r="B33" t="s">
        <v>51</v>
      </c>
      <c r="C33" t="s">
        <v>454</v>
      </c>
    </row>
    <row r="34" spans="2:4" x14ac:dyDescent="0.25">
      <c r="B34" t="s">
        <v>53</v>
      </c>
    </row>
    <row r="35" spans="2:4" x14ac:dyDescent="0.25">
      <c r="B35" t="s">
        <v>54</v>
      </c>
    </row>
    <row r="36" spans="2:4" x14ac:dyDescent="0.25">
      <c r="B36" t="s">
        <v>55</v>
      </c>
    </row>
    <row r="37" spans="2:4" x14ac:dyDescent="0.25">
      <c r="B37" t="s">
        <v>56</v>
      </c>
      <c r="C37" t="s">
        <v>449</v>
      </c>
    </row>
    <row r="38" spans="2:4" x14ac:dyDescent="0.25">
      <c r="B38" t="s">
        <v>57</v>
      </c>
      <c r="C38" t="s">
        <v>449</v>
      </c>
    </row>
    <row r="39" spans="2:4" x14ac:dyDescent="0.25">
      <c r="B39" t="s">
        <v>58</v>
      </c>
      <c r="C39" t="s">
        <v>142</v>
      </c>
    </row>
    <row r="40" spans="2:4" x14ac:dyDescent="0.25">
      <c r="B40" t="s">
        <v>59</v>
      </c>
    </row>
    <row r="41" spans="2:4" x14ac:dyDescent="0.25">
      <c r="B41" t="s">
        <v>60</v>
      </c>
      <c r="C41" t="s">
        <v>455</v>
      </c>
      <c r="D41" t="s">
        <v>456</v>
      </c>
    </row>
    <row r="42" spans="2:4" x14ac:dyDescent="0.25">
      <c r="B42" t="s">
        <v>61</v>
      </c>
    </row>
    <row r="43" spans="2:4" x14ac:dyDescent="0.25">
      <c r="B43" t="s">
        <v>62</v>
      </c>
    </row>
    <row r="44" spans="2:4" x14ac:dyDescent="0.25">
      <c r="B44" t="s">
        <v>63</v>
      </c>
    </row>
    <row r="45" spans="2:4" x14ac:dyDescent="0.25">
      <c r="B45" t="s">
        <v>64</v>
      </c>
      <c r="C45" t="s">
        <v>457</v>
      </c>
    </row>
    <row r="46" spans="2:4" x14ac:dyDescent="0.25">
      <c r="B46" t="s">
        <v>65</v>
      </c>
    </row>
    <row r="47" spans="2:4" x14ac:dyDescent="0.25">
      <c r="B47" t="s">
        <v>66</v>
      </c>
    </row>
    <row r="48" spans="2:4" x14ac:dyDescent="0.25">
      <c r="B48" t="s">
        <v>67</v>
      </c>
    </row>
    <row r="49" spans="2:6" x14ac:dyDescent="0.25">
      <c r="B49" t="s">
        <v>377</v>
      </c>
      <c r="C49" t="s">
        <v>378</v>
      </c>
      <c r="D49" t="s">
        <v>379</v>
      </c>
      <c r="E49" t="s">
        <v>380</v>
      </c>
    </row>
    <row r="50" spans="2:6" x14ac:dyDescent="0.25">
      <c r="B50" t="s">
        <v>381</v>
      </c>
      <c r="C50" t="s">
        <v>382</v>
      </c>
    </row>
    <row r="53" spans="2:6" x14ac:dyDescent="0.25">
      <c r="B53">
        <f>COUNTA(B1:B52)</f>
        <v>50</v>
      </c>
      <c r="C53">
        <v>3</v>
      </c>
      <c r="D53">
        <f>B53*C53</f>
        <v>150</v>
      </c>
      <c r="E53">
        <v>2000</v>
      </c>
      <c r="F53" s="6">
        <f>D53*E53</f>
        <v>300000</v>
      </c>
    </row>
    <row r="54" spans="2:6" x14ac:dyDescent="0.25">
      <c r="C54" t="s">
        <v>69</v>
      </c>
    </row>
    <row r="56" spans="2:6" x14ac:dyDescent="0.25">
      <c r="C56" t="s">
        <v>70</v>
      </c>
    </row>
    <row r="57" spans="2:6" x14ac:dyDescent="0.25">
      <c r="C57" t="s">
        <v>71</v>
      </c>
    </row>
    <row r="60" spans="2:6" x14ac:dyDescent="0.25">
      <c r="B60" s="7" t="s">
        <v>82</v>
      </c>
      <c r="C60">
        <v>15</v>
      </c>
    </row>
    <row r="61" spans="2:6" x14ac:dyDescent="0.25">
      <c r="B61" t="s">
        <v>75</v>
      </c>
    </row>
    <row r="62" spans="2:6" x14ac:dyDescent="0.25">
      <c r="B62" t="s">
        <v>74</v>
      </c>
    </row>
    <row r="63" spans="2:6" x14ac:dyDescent="0.25">
      <c r="B63" t="s">
        <v>78</v>
      </c>
    </row>
    <row r="64" spans="2:6" x14ac:dyDescent="0.25">
      <c r="B64" t="s">
        <v>79</v>
      </c>
    </row>
    <row r="65" spans="2:4" x14ac:dyDescent="0.25">
      <c r="B65" t="s">
        <v>80</v>
      </c>
    </row>
    <row r="66" spans="2:4" x14ac:dyDescent="0.25">
      <c r="B66" t="s">
        <v>81</v>
      </c>
    </row>
    <row r="69" spans="2:4" x14ac:dyDescent="0.25">
      <c r="B69" s="7" t="s">
        <v>272</v>
      </c>
    </row>
    <row r="70" spans="2:4" x14ac:dyDescent="0.25">
      <c r="B70" t="s">
        <v>273</v>
      </c>
    </row>
    <row r="71" spans="2:4" x14ac:dyDescent="0.25">
      <c r="B71" t="s">
        <v>274</v>
      </c>
    </row>
    <row r="72" spans="2:4" x14ac:dyDescent="0.25">
      <c r="B72" t="s">
        <v>275</v>
      </c>
    </row>
    <row r="73" spans="2:4" x14ac:dyDescent="0.25">
      <c r="B73" t="s">
        <v>276</v>
      </c>
    </row>
    <row r="74" spans="2:4" x14ac:dyDescent="0.25">
      <c r="B74" t="s">
        <v>277</v>
      </c>
    </row>
    <row r="78" spans="2:4" x14ac:dyDescent="0.25">
      <c r="B78" s="7" t="s">
        <v>83</v>
      </c>
      <c r="C78" t="s">
        <v>76</v>
      </c>
      <c r="D78" t="s">
        <v>77</v>
      </c>
    </row>
    <row r="79" spans="2:4" x14ac:dyDescent="0.25">
      <c r="B79" t="s">
        <v>84</v>
      </c>
    </row>
    <row r="84" spans="2:2" x14ac:dyDescent="0.25">
      <c r="B84" s="7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D745-D671-4EA3-BF42-333F743FDADF}">
  <dimension ref="A1:K52"/>
  <sheetViews>
    <sheetView workbookViewId="0">
      <selection activeCell="G46" sqref="G46"/>
    </sheetView>
  </sheetViews>
  <sheetFormatPr defaultRowHeight="15" x14ac:dyDescent="0.25"/>
  <cols>
    <col min="1" max="1" width="34.42578125" customWidth="1"/>
    <col min="2" max="4" width="31.28515625" customWidth="1"/>
    <col min="6" max="6" width="22.140625" customWidth="1"/>
    <col min="7" max="10" width="39.42578125" customWidth="1"/>
  </cols>
  <sheetData>
    <row r="1" spans="1:11" x14ac:dyDescent="0.25">
      <c r="A1" s="7" t="s">
        <v>460</v>
      </c>
      <c r="B1" s="7"/>
      <c r="C1" s="7" t="s">
        <v>3</v>
      </c>
      <c r="D1" s="7" t="s">
        <v>462</v>
      </c>
      <c r="H1" s="7" t="s">
        <v>462</v>
      </c>
    </row>
    <row r="2" spans="1:11" x14ac:dyDescent="0.25">
      <c r="A2" t="s">
        <v>463</v>
      </c>
      <c r="C2" t="s">
        <v>18</v>
      </c>
      <c r="E2" t="s">
        <v>486</v>
      </c>
      <c r="F2" t="s">
        <v>487</v>
      </c>
      <c r="G2" t="s">
        <v>488</v>
      </c>
      <c r="H2" s="7" t="s">
        <v>462</v>
      </c>
      <c r="K2" t="s">
        <v>489</v>
      </c>
    </row>
    <row r="3" spans="1:11" x14ac:dyDescent="0.25">
      <c r="A3" t="s">
        <v>464</v>
      </c>
      <c r="C3" t="s">
        <v>108</v>
      </c>
      <c r="E3">
        <v>1</v>
      </c>
      <c r="F3" t="s">
        <v>490</v>
      </c>
      <c r="G3" t="s">
        <v>468</v>
      </c>
      <c r="K3" t="s">
        <v>491</v>
      </c>
    </row>
    <row r="4" spans="1:11" x14ac:dyDescent="0.25">
      <c r="A4" t="s">
        <v>465</v>
      </c>
      <c r="C4" t="s">
        <v>453</v>
      </c>
      <c r="E4">
        <v>2</v>
      </c>
      <c r="F4" t="s">
        <v>492</v>
      </c>
      <c r="G4" t="s">
        <v>468</v>
      </c>
      <c r="K4" t="s">
        <v>491</v>
      </c>
    </row>
    <row r="5" spans="1:11" x14ac:dyDescent="0.25">
      <c r="A5" t="s">
        <v>466</v>
      </c>
      <c r="C5" t="s">
        <v>373</v>
      </c>
      <c r="E5">
        <v>3</v>
      </c>
      <c r="F5" t="s">
        <v>493</v>
      </c>
      <c r="G5" t="s">
        <v>468</v>
      </c>
      <c r="K5" t="s">
        <v>494</v>
      </c>
    </row>
    <row r="6" spans="1:11" x14ac:dyDescent="0.25">
      <c r="A6" t="s">
        <v>467</v>
      </c>
      <c r="C6" t="s">
        <v>306</v>
      </c>
      <c r="E6">
        <v>4</v>
      </c>
      <c r="F6" t="s">
        <v>495</v>
      </c>
      <c r="G6" t="s">
        <v>468</v>
      </c>
      <c r="K6" t="s">
        <v>491</v>
      </c>
    </row>
    <row r="7" spans="1:11" x14ac:dyDescent="0.25">
      <c r="A7" t="s">
        <v>66</v>
      </c>
      <c r="C7" t="s">
        <v>90</v>
      </c>
      <c r="E7">
        <v>5</v>
      </c>
      <c r="F7" t="s">
        <v>496</v>
      </c>
      <c r="G7" t="s">
        <v>468</v>
      </c>
      <c r="K7" t="s">
        <v>494</v>
      </c>
    </row>
    <row r="8" spans="1:11" x14ac:dyDescent="0.25">
      <c r="A8" t="s">
        <v>468</v>
      </c>
      <c r="C8" t="s">
        <v>382</v>
      </c>
      <c r="E8">
        <v>6</v>
      </c>
      <c r="F8" t="s">
        <v>497</v>
      </c>
      <c r="G8" t="s">
        <v>474</v>
      </c>
      <c r="K8" t="s">
        <v>491</v>
      </c>
    </row>
    <row r="9" spans="1:11" x14ac:dyDescent="0.25">
      <c r="A9" t="s">
        <v>469</v>
      </c>
      <c r="C9" t="s">
        <v>143</v>
      </c>
      <c r="E9">
        <v>7</v>
      </c>
      <c r="F9" t="s">
        <v>498</v>
      </c>
      <c r="G9" t="s">
        <v>474</v>
      </c>
      <c r="K9" t="s">
        <v>494</v>
      </c>
    </row>
    <row r="10" spans="1:11" x14ac:dyDescent="0.25">
      <c r="A10" t="s">
        <v>461</v>
      </c>
      <c r="C10" t="s">
        <v>103</v>
      </c>
      <c r="E10">
        <v>8</v>
      </c>
      <c r="F10" t="s">
        <v>499</v>
      </c>
      <c r="G10" t="s">
        <v>474</v>
      </c>
      <c r="K10" t="s">
        <v>494</v>
      </c>
    </row>
    <row r="11" spans="1:11" x14ac:dyDescent="0.25">
      <c r="A11" t="s">
        <v>54</v>
      </c>
      <c r="C11" t="s">
        <v>19</v>
      </c>
      <c r="E11">
        <v>9</v>
      </c>
      <c r="F11" t="s">
        <v>500</v>
      </c>
      <c r="G11" t="s">
        <v>474</v>
      </c>
      <c r="K11" t="s">
        <v>494</v>
      </c>
    </row>
    <row r="12" spans="1:11" x14ac:dyDescent="0.25">
      <c r="A12" t="s">
        <v>470</v>
      </c>
      <c r="C12" t="s">
        <v>457</v>
      </c>
      <c r="E12">
        <v>10</v>
      </c>
      <c r="F12" t="s">
        <v>501</v>
      </c>
      <c r="G12" t="s">
        <v>475</v>
      </c>
      <c r="K12" t="s">
        <v>494</v>
      </c>
    </row>
    <row r="13" spans="1:11" x14ac:dyDescent="0.25">
      <c r="A13" t="s">
        <v>471</v>
      </c>
      <c r="C13" t="s">
        <v>107</v>
      </c>
      <c r="E13">
        <v>11</v>
      </c>
      <c r="F13" t="s">
        <v>502</v>
      </c>
      <c r="G13" t="s">
        <v>470</v>
      </c>
      <c r="K13" t="s">
        <v>494</v>
      </c>
    </row>
    <row r="14" spans="1:11" x14ac:dyDescent="0.25">
      <c r="A14" t="s">
        <v>472</v>
      </c>
      <c r="C14" t="s">
        <v>88</v>
      </c>
      <c r="E14">
        <v>12</v>
      </c>
      <c r="F14" t="s">
        <v>503</v>
      </c>
      <c r="G14" t="s">
        <v>478</v>
      </c>
      <c r="K14" t="s">
        <v>494</v>
      </c>
    </row>
    <row r="15" spans="1:11" x14ac:dyDescent="0.25">
      <c r="A15" t="s">
        <v>473</v>
      </c>
      <c r="C15" t="s">
        <v>374</v>
      </c>
      <c r="E15">
        <v>13</v>
      </c>
      <c r="F15" t="s">
        <v>504</v>
      </c>
      <c r="G15" t="s">
        <v>505</v>
      </c>
      <c r="K15" t="s">
        <v>491</v>
      </c>
    </row>
    <row r="16" spans="1:11" x14ac:dyDescent="0.25">
      <c r="A16" t="s">
        <v>46</v>
      </c>
      <c r="C16" t="s">
        <v>379</v>
      </c>
      <c r="E16">
        <v>14</v>
      </c>
      <c r="F16" t="s">
        <v>506</v>
      </c>
      <c r="G16" t="s">
        <v>505</v>
      </c>
      <c r="K16" t="s">
        <v>494</v>
      </c>
    </row>
    <row r="17" spans="1:11" x14ac:dyDescent="0.25">
      <c r="A17" t="s">
        <v>474</v>
      </c>
      <c r="C17" t="s">
        <v>104</v>
      </c>
      <c r="E17">
        <v>15</v>
      </c>
      <c r="F17" t="s">
        <v>507</v>
      </c>
      <c r="G17" t="s">
        <v>505</v>
      </c>
      <c r="K17" t="s">
        <v>491</v>
      </c>
    </row>
    <row r="18" spans="1:11" x14ac:dyDescent="0.25">
      <c r="A18" t="s">
        <v>475</v>
      </c>
      <c r="C18" t="s">
        <v>307</v>
      </c>
      <c r="E18">
        <v>16</v>
      </c>
      <c r="F18" t="s">
        <v>508</v>
      </c>
      <c r="G18" t="s">
        <v>505</v>
      </c>
      <c r="K18" t="s">
        <v>491</v>
      </c>
    </row>
    <row r="19" spans="1:11" x14ac:dyDescent="0.25">
      <c r="A19" t="s">
        <v>476</v>
      </c>
      <c r="C19" t="s">
        <v>110</v>
      </c>
      <c r="E19">
        <v>17</v>
      </c>
      <c r="F19" t="s">
        <v>509</v>
      </c>
      <c r="G19" t="s">
        <v>471</v>
      </c>
      <c r="K19" t="s">
        <v>510</v>
      </c>
    </row>
    <row r="20" spans="1:11" x14ac:dyDescent="0.25">
      <c r="A20" t="s">
        <v>477</v>
      </c>
      <c r="C20" t="s">
        <v>454</v>
      </c>
      <c r="E20">
        <v>18</v>
      </c>
      <c r="F20" t="s">
        <v>511</v>
      </c>
      <c r="G20" t="s">
        <v>471</v>
      </c>
      <c r="K20" t="s">
        <v>491</v>
      </c>
    </row>
    <row r="21" spans="1:11" x14ac:dyDescent="0.25">
      <c r="A21" t="s">
        <v>478</v>
      </c>
      <c r="C21" t="s">
        <v>175</v>
      </c>
      <c r="E21">
        <v>19</v>
      </c>
      <c r="F21" t="s">
        <v>512</v>
      </c>
      <c r="G21" t="s">
        <v>471</v>
      </c>
      <c r="K21" t="s">
        <v>494</v>
      </c>
    </row>
    <row r="22" spans="1:11" x14ac:dyDescent="0.25">
      <c r="A22" t="s">
        <v>479</v>
      </c>
      <c r="C22" t="s">
        <v>106</v>
      </c>
      <c r="E22">
        <v>20</v>
      </c>
      <c r="F22" t="s">
        <v>513</v>
      </c>
      <c r="G22" t="s">
        <v>478</v>
      </c>
      <c r="K22" t="s">
        <v>510</v>
      </c>
    </row>
    <row r="23" spans="1:11" x14ac:dyDescent="0.25">
      <c r="A23" t="s">
        <v>480</v>
      </c>
      <c r="C23" t="s">
        <v>101</v>
      </c>
      <c r="E23">
        <v>21</v>
      </c>
      <c r="F23" t="s">
        <v>514</v>
      </c>
      <c r="G23" t="s">
        <v>479</v>
      </c>
      <c r="K23" t="s">
        <v>510</v>
      </c>
    </row>
    <row r="24" spans="1:11" x14ac:dyDescent="0.25">
      <c r="A24" t="s">
        <v>481</v>
      </c>
      <c r="C24" t="s">
        <v>449</v>
      </c>
      <c r="E24">
        <v>22</v>
      </c>
      <c r="F24" t="s">
        <v>515</v>
      </c>
      <c r="G24" t="s">
        <v>516</v>
      </c>
      <c r="K24" t="s">
        <v>491</v>
      </c>
    </row>
    <row r="25" spans="1:11" x14ac:dyDescent="0.25">
      <c r="A25" t="s">
        <v>482</v>
      </c>
      <c r="C25" t="s">
        <v>452</v>
      </c>
      <c r="E25">
        <v>23</v>
      </c>
      <c r="F25" t="s">
        <v>517</v>
      </c>
      <c r="G25" t="s">
        <v>479</v>
      </c>
      <c r="K25" t="s">
        <v>494</v>
      </c>
    </row>
    <row r="26" spans="1:11" x14ac:dyDescent="0.25">
      <c r="A26" t="s">
        <v>483</v>
      </c>
      <c r="C26" t="s">
        <v>142</v>
      </c>
      <c r="E26">
        <v>24</v>
      </c>
      <c r="F26" t="s">
        <v>518</v>
      </c>
      <c r="G26" t="s">
        <v>477</v>
      </c>
      <c r="K26" t="s">
        <v>491</v>
      </c>
    </row>
    <row r="27" spans="1:11" x14ac:dyDescent="0.25">
      <c r="A27" t="s">
        <v>484</v>
      </c>
      <c r="C27" t="s">
        <v>450</v>
      </c>
      <c r="E27">
        <v>25</v>
      </c>
      <c r="F27" t="s">
        <v>519</v>
      </c>
      <c r="G27" t="s">
        <v>477</v>
      </c>
      <c r="K27" t="s">
        <v>491</v>
      </c>
    </row>
    <row r="28" spans="1:11" x14ac:dyDescent="0.25">
      <c r="A28" t="s">
        <v>485</v>
      </c>
      <c r="C28" t="s">
        <v>100</v>
      </c>
      <c r="E28">
        <v>26</v>
      </c>
      <c r="F28" t="s">
        <v>520</v>
      </c>
      <c r="G28" t="s">
        <v>482</v>
      </c>
      <c r="K28" t="s">
        <v>510</v>
      </c>
    </row>
    <row r="29" spans="1:11" x14ac:dyDescent="0.25">
      <c r="C29" t="s">
        <v>92</v>
      </c>
      <c r="E29">
        <v>27</v>
      </c>
      <c r="F29" t="s">
        <v>521</v>
      </c>
      <c r="G29" t="s">
        <v>482</v>
      </c>
      <c r="K29" t="s">
        <v>510</v>
      </c>
    </row>
    <row r="30" spans="1:11" x14ac:dyDescent="0.25">
      <c r="C30" t="s">
        <v>372</v>
      </c>
      <c r="E30">
        <v>28</v>
      </c>
      <c r="F30" t="s">
        <v>91</v>
      </c>
      <c r="G30" t="s">
        <v>472</v>
      </c>
      <c r="K30" t="s">
        <v>510</v>
      </c>
    </row>
    <row r="31" spans="1:11" x14ac:dyDescent="0.25">
      <c r="C31" t="s">
        <v>109</v>
      </c>
      <c r="E31">
        <v>29</v>
      </c>
      <c r="F31" t="s">
        <v>522</v>
      </c>
      <c r="G31" t="s">
        <v>523</v>
      </c>
      <c r="K31" t="s">
        <v>510</v>
      </c>
    </row>
    <row r="32" spans="1:11" x14ac:dyDescent="0.25">
      <c r="C32" t="s">
        <v>378</v>
      </c>
      <c r="E32">
        <v>30</v>
      </c>
      <c r="F32" t="s">
        <v>524</v>
      </c>
      <c r="G32" t="s">
        <v>523</v>
      </c>
      <c r="K32" t="s">
        <v>525</v>
      </c>
    </row>
    <row r="33" spans="3:11" x14ac:dyDescent="0.25">
      <c r="C33" t="s">
        <v>375</v>
      </c>
      <c r="E33">
        <v>31</v>
      </c>
      <c r="F33" t="s">
        <v>19</v>
      </c>
      <c r="G33" t="s">
        <v>461</v>
      </c>
      <c r="K33" t="s">
        <v>494</v>
      </c>
    </row>
    <row r="34" spans="3:11" x14ac:dyDescent="0.25">
      <c r="C34" t="s">
        <v>451</v>
      </c>
      <c r="E34">
        <v>32</v>
      </c>
      <c r="F34" t="s">
        <v>526</v>
      </c>
      <c r="G34" t="s">
        <v>475</v>
      </c>
      <c r="K34" t="s">
        <v>494</v>
      </c>
    </row>
    <row r="35" spans="3:11" x14ac:dyDescent="0.25">
      <c r="C35" t="s">
        <v>105</v>
      </c>
      <c r="E35">
        <v>33</v>
      </c>
      <c r="F35" t="s">
        <v>527</v>
      </c>
      <c r="G35" t="s">
        <v>475</v>
      </c>
      <c r="K35" t="s">
        <v>494</v>
      </c>
    </row>
    <row r="36" spans="3:11" x14ac:dyDescent="0.25">
      <c r="C36" t="s">
        <v>380</v>
      </c>
      <c r="E36">
        <v>34</v>
      </c>
      <c r="F36" t="s">
        <v>528</v>
      </c>
      <c r="G36" t="s">
        <v>468</v>
      </c>
      <c r="K36" t="s">
        <v>510</v>
      </c>
    </row>
    <row r="37" spans="3:11" x14ac:dyDescent="0.25">
      <c r="C37" t="s">
        <v>91</v>
      </c>
      <c r="E37">
        <v>35</v>
      </c>
      <c r="F37" t="s">
        <v>529</v>
      </c>
      <c r="G37" t="s">
        <v>468</v>
      </c>
      <c r="K37" t="s">
        <v>494</v>
      </c>
    </row>
    <row r="38" spans="3:11" x14ac:dyDescent="0.25">
      <c r="C38" t="s">
        <v>91</v>
      </c>
      <c r="E38">
        <v>36</v>
      </c>
      <c r="F38" t="s">
        <v>530</v>
      </c>
      <c r="G38" t="s">
        <v>479</v>
      </c>
      <c r="K38" t="s">
        <v>494</v>
      </c>
    </row>
    <row r="39" spans="3:11" x14ac:dyDescent="0.25">
      <c r="C39" t="s">
        <v>376</v>
      </c>
      <c r="E39">
        <v>37</v>
      </c>
      <c r="F39" t="s">
        <v>531</v>
      </c>
      <c r="G39" t="s">
        <v>468</v>
      </c>
      <c r="K39" t="s">
        <v>494</v>
      </c>
    </row>
    <row r="40" spans="3:11" x14ac:dyDescent="0.25">
      <c r="C40" t="s">
        <v>456</v>
      </c>
      <c r="E40">
        <v>38</v>
      </c>
      <c r="F40" t="s">
        <v>532</v>
      </c>
      <c r="G40" t="s">
        <v>468</v>
      </c>
      <c r="K40" t="s">
        <v>494</v>
      </c>
    </row>
    <row r="41" spans="3:11" x14ac:dyDescent="0.25">
      <c r="C41" t="s">
        <v>455</v>
      </c>
      <c r="E41">
        <v>39</v>
      </c>
      <c r="F41" t="s">
        <v>533</v>
      </c>
      <c r="G41" t="s">
        <v>461</v>
      </c>
      <c r="K41" t="s">
        <v>494</v>
      </c>
    </row>
    <row r="42" spans="3:11" x14ac:dyDescent="0.25">
      <c r="C42" t="s">
        <v>144</v>
      </c>
      <c r="E42">
        <v>40</v>
      </c>
      <c r="F42" t="s">
        <v>534</v>
      </c>
      <c r="G42" t="s">
        <v>482</v>
      </c>
      <c r="K42" t="s">
        <v>510</v>
      </c>
    </row>
    <row r="43" spans="3:11" x14ac:dyDescent="0.25">
      <c r="C43" t="s">
        <v>111</v>
      </c>
      <c r="E43">
        <v>41</v>
      </c>
      <c r="F43" t="s">
        <v>535</v>
      </c>
      <c r="G43" t="s">
        <v>470</v>
      </c>
      <c r="K43" t="s">
        <v>494</v>
      </c>
    </row>
    <row r="44" spans="3:11" x14ac:dyDescent="0.25">
      <c r="C44" t="s">
        <v>89</v>
      </c>
      <c r="E44">
        <v>42</v>
      </c>
      <c r="F44" t="s">
        <v>536</v>
      </c>
      <c r="G44" t="s">
        <v>474</v>
      </c>
      <c r="K44" t="s">
        <v>494</v>
      </c>
    </row>
    <row r="45" spans="3:11" x14ac:dyDescent="0.25">
      <c r="C45" t="s">
        <v>87</v>
      </c>
      <c r="E45">
        <v>43</v>
      </c>
      <c r="F45" t="s">
        <v>537</v>
      </c>
      <c r="G45" t="s">
        <v>523</v>
      </c>
      <c r="K45" t="s">
        <v>510</v>
      </c>
    </row>
    <row r="46" spans="3:11" x14ac:dyDescent="0.25">
      <c r="E46">
        <v>44</v>
      </c>
      <c r="F46" t="s">
        <v>538</v>
      </c>
      <c r="G46" t="s">
        <v>471</v>
      </c>
      <c r="K46" t="s">
        <v>494</v>
      </c>
    </row>
    <row r="47" spans="3:11" x14ac:dyDescent="0.25">
      <c r="E47">
        <v>45</v>
      </c>
      <c r="F47" t="s">
        <v>539</v>
      </c>
      <c r="G47" t="s">
        <v>468</v>
      </c>
      <c r="K47" t="s">
        <v>494</v>
      </c>
    </row>
    <row r="48" spans="3:11" x14ac:dyDescent="0.25">
      <c r="E48">
        <v>46</v>
      </c>
      <c r="F48" t="s">
        <v>540</v>
      </c>
      <c r="G48" t="s">
        <v>478</v>
      </c>
      <c r="K48" t="s">
        <v>494</v>
      </c>
    </row>
    <row r="49" spans="5:11" x14ac:dyDescent="0.25">
      <c r="E49">
        <v>47</v>
      </c>
      <c r="F49" t="s">
        <v>541</v>
      </c>
      <c r="G49" t="s">
        <v>479</v>
      </c>
      <c r="K49" t="s">
        <v>494</v>
      </c>
    </row>
    <row r="50" spans="5:11" x14ac:dyDescent="0.25">
      <c r="E50">
        <v>48</v>
      </c>
      <c r="F50" t="s">
        <v>542</v>
      </c>
      <c r="G50" t="s">
        <v>479</v>
      </c>
      <c r="K50" t="s">
        <v>494</v>
      </c>
    </row>
    <row r="51" spans="5:11" x14ac:dyDescent="0.25">
      <c r="E51">
        <v>49</v>
      </c>
      <c r="F51" t="s">
        <v>543</v>
      </c>
      <c r="G51" t="s">
        <v>471</v>
      </c>
      <c r="K51" t="s">
        <v>510</v>
      </c>
    </row>
    <row r="52" spans="5:11" x14ac:dyDescent="0.25">
      <c r="E52">
        <v>50</v>
      </c>
      <c r="F52" t="s">
        <v>544</v>
      </c>
      <c r="G52" t="s">
        <v>470</v>
      </c>
      <c r="K52" t="s">
        <v>494</v>
      </c>
    </row>
  </sheetData>
  <sortState xmlns:xlrd2="http://schemas.microsoft.com/office/spreadsheetml/2017/richdata2" ref="C2:C50">
    <sortCondition ref="C2:C5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06DB-F549-4699-A3D9-367F0663B1D4}">
  <dimension ref="A1:E51"/>
  <sheetViews>
    <sheetView workbookViewId="0">
      <selection activeCell="H6" sqref="H6"/>
    </sheetView>
  </sheetViews>
  <sheetFormatPr defaultRowHeight="15" x14ac:dyDescent="0.25"/>
  <cols>
    <col min="1" max="1" width="9.140625" style="22"/>
    <col min="2" max="2" width="22.140625" customWidth="1"/>
    <col min="3" max="3" width="39.42578125" customWidth="1"/>
    <col min="4" max="4" width="14.42578125" customWidth="1"/>
    <col min="5" max="5" width="51.5703125" customWidth="1"/>
  </cols>
  <sheetData>
    <row r="1" spans="1:5" x14ac:dyDescent="0.25">
      <c r="A1" s="26" t="s">
        <v>486</v>
      </c>
      <c r="B1" s="7" t="s">
        <v>3</v>
      </c>
      <c r="C1" s="7" t="s">
        <v>460</v>
      </c>
      <c r="D1" s="7" t="s">
        <v>489</v>
      </c>
      <c r="E1" s="7" t="s">
        <v>595</v>
      </c>
    </row>
    <row r="2" spans="1:5" x14ac:dyDescent="0.25">
      <c r="A2" s="22">
        <v>1</v>
      </c>
      <c r="B2" t="s">
        <v>490</v>
      </c>
      <c r="C2" t="s">
        <v>468</v>
      </c>
      <c r="D2" t="s">
        <v>491</v>
      </c>
      <c r="E2" t="s">
        <v>545</v>
      </c>
    </row>
    <row r="3" spans="1:5" x14ac:dyDescent="0.25">
      <c r="A3" s="22">
        <v>2</v>
      </c>
      <c r="B3" t="s">
        <v>492</v>
      </c>
      <c r="C3" t="s">
        <v>468</v>
      </c>
      <c r="D3" t="s">
        <v>491</v>
      </c>
      <c r="E3" t="s">
        <v>546</v>
      </c>
    </row>
    <row r="4" spans="1:5" x14ac:dyDescent="0.25">
      <c r="A4" s="22">
        <v>3</v>
      </c>
      <c r="B4" t="s">
        <v>493</v>
      </c>
      <c r="C4" t="s">
        <v>468</v>
      </c>
      <c r="D4" t="s">
        <v>494</v>
      </c>
      <c r="E4" t="s">
        <v>547</v>
      </c>
    </row>
    <row r="5" spans="1:5" x14ac:dyDescent="0.25">
      <c r="A5" s="22">
        <v>4</v>
      </c>
      <c r="B5" t="s">
        <v>495</v>
      </c>
      <c r="C5" t="s">
        <v>468</v>
      </c>
      <c r="D5" t="s">
        <v>491</v>
      </c>
      <c r="E5" t="s">
        <v>548</v>
      </c>
    </row>
    <row r="6" spans="1:5" x14ac:dyDescent="0.25">
      <c r="A6" s="22">
        <v>5</v>
      </c>
      <c r="B6" t="s">
        <v>496</v>
      </c>
      <c r="C6" t="s">
        <v>468</v>
      </c>
      <c r="D6" t="s">
        <v>494</v>
      </c>
      <c r="E6" t="s">
        <v>549</v>
      </c>
    </row>
    <row r="7" spans="1:5" x14ac:dyDescent="0.25">
      <c r="A7" s="22">
        <v>6</v>
      </c>
      <c r="B7" t="s">
        <v>497</v>
      </c>
      <c r="C7" t="s">
        <v>474</v>
      </c>
      <c r="D7" t="s">
        <v>491</v>
      </c>
      <c r="E7" t="s">
        <v>550</v>
      </c>
    </row>
    <row r="8" spans="1:5" x14ac:dyDescent="0.25">
      <c r="A8" s="22">
        <v>7</v>
      </c>
      <c r="B8" t="s">
        <v>498</v>
      </c>
      <c r="C8" t="s">
        <v>474</v>
      </c>
      <c r="D8" t="s">
        <v>494</v>
      </c>
      <c r="E8" t="s">
        <v>551</v>
      </c>
    </row>
    <row r="9" spans="1:5" x14ac:dyDescent="0.25">
      <c r="A9" s="22">
        <v>8</v>
      </c>
      <c r="B9" t="s">
        <v>499</v>
      </c>
      <c r="C9" t="s">
        <v>474</v>
      </c>
      <c r="D9" t="s">
        <v>494</v>
      </c>
      <c r="E9" t="s">
        <v>552</v>
      </c>
    </row>
    <row r="10" spans="1:5" x14ac:dyDescent="0.25">
      <c r="A10" s="22">
        <v>9</v>
      </c>
      <c r="B10" t="s">
        <v>500</v>
      </c>
      <c r="C10" t="s">
        <v>474</v>
      </c>
      <c r="D10" t="s">
        <v>494</v>
      </c>
      <c r="E10" t="s">
        <v>553</v>
      </c>
    </row>
    <row r="11" spans="1:5" x14ac:dyDescent="0.25">
      <c r="A11" s="22">
        <v>10</v>
      </c>
      <c r="B11" t="s">
        <v>501</v>
      </c>
      <c r="C11" t="s">
        <v>475</v>
      </c>
      <c r="D11" t="s">
        <v>494</v>
      </c>
      <c r="E11" t="s">
        <v>554</v>
      </c>
    </row>
    <row r="12" spans="1:5" x14ac:dyDescent="0.25">
      <c r="A12" s="22">
        <v>11</v>
      </c>
      <c r="B12" t="s">
        <v>502</v>
      </c>
      <c r="C12" t="s">
        <v>470</v>
      </c>
      <c r="D12" t="s">
        <v>494</v>
      </c>
      <c r="E12" t="s">
        <v>555</v>
      </c>
    </row>
    <row r="13" spans="1:5" x14ac:dyDescent="0.25">
      <c r="A13" s="22">
        <v>12</v>
      </c>
      <c r="B13" t="s">
        <v>503</v>
      </c>
      <c r="C13" t="s">
        <v>478</v>
      </c>
      <c r="D13" t="s">
        <v>494</v>
      </c>
      <c r="E13" t="s">
        <v>556</v>
      </c>
    </row>
    <row r="14" spans="1:5" x14ac:dyDescent="0.25">
      <c r="A14" s="22">
        <v>13</v>
      </c>
      <c r="B14" t="s">
        <v>504</v>
      </c>
      <c r="C14" t="s">
        <v>505</v>
      </c>
      <c r="D14" t="s">
        <v>491</v>
      </c>
      <c r="E14" t="s">
        <v>557</v>
      </c>
    </row>
    <row r="15" spans="1:5" x14ac:dyDescent="0.25">
      <c r="A15" s="22">
        <v>14</v>
      </c>
      <c r="B15" t="s">
        <v>506</v>
      </c>
      <c r="C15" t="s">
        <v>505</v>
      </c>
      <c r="D15" t="s">
        <v>494</v>
      </c>
      <c r="E15" t="s">
        <v>558</v>
      </c>
    </row>
    <row r="16" spans="1:5" x14ac:dyDescent="0.25">
      <c r="A16" s="22">
        <v>15</v>
      </c>
      <c r="B16" t="s">
        <v>507</v>
      </c>
      <c r="C16" t="s">
        <v>505</v>
      </c>
      <c r="D16" t="s">
        <v>491</v>
      </c>
      <c r="E16" t="s">
        <v>559</v>
      </c>
    </row>
    <row r="17" spans="1:5" x14ac:dyDescent="0.25">
      <c r="A17" s="22">
        <v>16</v>
      </c>
      <c r="B17" t="s">
        <v>508</v>
      </c>
      <c r="C17" t="s">
        <v>505</v>
      </c>
      <c r="D17" t="s">
        <v>491</v>
      </c>
      <c r="E17" t="s">
        <v>560</v>
      </c>
    </row>
    <row r="18" spans="1:5" x14ac:dyDescent="0.25">
      <c r="A18" s="22">
        <v>17</v>
      </c>
      <c r="B18" t="s">
        <v>509</v>
      </c>
      <c r="C18" t="s">
        <v>471</v>
      </c>
      <c r="D18" t="s">
        <v>510</v>
      </c>
      <c r="E18" t="s">
        <v>561</v>
      </c>
    </row>
    <row r="19" spans="1:5" x14ac:dyDescent="0.25">
      <c r="A19" s="22">
        <v>18</v>
      </c>
      <c r="B19" t="s">
        <v>511</v>
      </c>
      <c r="C19" t="s">
        <v>471</v>
      </c>
      <c r="D19" t="s">
        <v>491</v>
      </c>
      <c r="E19" t="s">
        <v>562</v>
      </c>
    </row>
    <row r="20" spans="1:5" x14ac:dyDescent="0.25">
      <c r="A20" s="22">
        <v>19</v>
      </c>
      <c r="B20" t="s">
        <v>512</v>
      </c>
      <c r="C20" t="s">
        <v>471</v>
      </c>
      <c r="D20" t="s">
        <v>494</v>
      </c>
      <c r="E20" t="s">
        <v>563</v>
      </c>
    </row>
    <row r="21" spans="1:5" x14ac:dyDescent="0.25">
      <c r="A21" s="22">
        <v>20</v>
      </c>
      <c r="B21" t="s">
        <v>513</v>
      </c>
      <c r="C21" t="s">
        <v>478</v>
      </c>
      <c r="D21" t="s">
        <v>510</v>
      </c>
      <c r="E21" t="s">
        <v>564</v>
      </c>
    </row>
    <row r="22" spans="1:5" x14ac:dyDescent="0.25">
      <c r="A22" s="22">
        <v>21</v>
      </c>
      <c r="B22" t="s">
        <v>514</v>
      </c>
      <c r="C22" t="s">
        <v>479</v>
      </c>
      <c r="D22" t="s">
        <v>510</v>
      </c>
      <c r="E22" t="s">
        <v>565</v>
      </c>
    </row>
    <row r="23" spans="1:5" x14ac:dyDescent="0.25">
      <c r="A23" s="22">
        <v>22</v>
      </c>
      <c r="B23" t="s">
        <v>515</v>
      </c>
      <c r="C23" t="s">
        <v>516</v>
      </c>
      <c r="D23" t="s">
        <v>491</v>
      </c>
      <c r="E23" t="s">
        <v>566</v>
      </c>
    </row>
    <row r="24" spans="1:5" x14ac:dyDescent="0.25">
      <c r="A24" s="22">
        <v>23</v>
      </c>
      <c r="B24" t="s">
        <v>517</v>
      </c>
      <c r="C24" t="s">
        <v>479</v>
      </c>
      <c r="D24" t="s">
        <v>494</v>
      </c>
      <c r="E24" t="s">
        <v>567</v>
      </c>
    </row>
    <row r="25" spans="1:5" x14ac:dyDescent="0.25">
      <c r="A25" s="22">
        <v>24</v>
      </c>
      <c r="B25" t="s">
        <v>518</v>
      </c>
      <c r="C25" t="s">
        <v>477</v>
      </c>
      <c r="D25" t="s">
        <v>491</v>
      </c>
      <c r="E25" t="s">
        <v>568</v>
      </c>
    </row>
    <row r="26" spans="1:5" x14ac:dyDescent="0.25">
      <c r="A26" s="22">
        <v>25</v>
      </c>
      <c r="B26" t="s">
        <v>519</v>
      </c>
      <c r="C26" t="s">
        <v>477</v>
      </c>
      <c r="D26" t="s">
        <v>491</v>
      </c>
      <c r="E26" t="s">
        <v>569</v>
      </c>
    </row>
    <row r="27" spans="1:5" x14ac:dyDescent="0.25">
      <c r="A27" s="22">
        <v>26</v>
      </c>
      <c r="B27" t="s">
        <v>520</v>
      </c>
      <c r="C27" t="s">
        <v>482</v>
      </c>
      <c r="D27" t="s">
        <v>510</v>
      </c>
      <c r="E27" t="s">
        <v>570</v>
      </c>
    </row>
    <row r="28" spans="1:5" x14ac:dyDescent="0.25">
      <c r="A28" s="22">
        <v>27</v>
      </c>
      <c r="B28" t="s">
        <v>521</v>
      </c>
      <c r="C28" t="s">
        <v>482</v>
      </c>
      <c r="D28" t="s">
        <v>510</v>
      </c>
      <c r="E28" t="s">
        <v>571</v>
      </c>
    </row>
    <row r="29" spans="1:5" x14ac:dyDescent="0.25">
      <c r="A29" s="22">
        <v>28</v>
      </c>
      <c r="B29" t="s">
        <v>91</v>
      </c>
      <c r="C29" t="s">
        <v>472</v>
      </c>
      <c r="D29" t="s">
        <v>510</v>
      </c>
      <c r="E29" t="s">
        <v>572</v>
      </c>
    </row>
    <row r="30" spans="1:5" x14ac:dyDescent="0.25">
      <c r="A30" s="22">
        <v>29</v>
      </c>
      <c r="B30" t="s">
        <v>522</v>
      </c>
      <c r="C30" t="s">
        <v>523</v>
      </c>
      <c r="D30" t="s">
        <v>510</v>
      </c>
      <c r="E30" t="s">
        <v>573</v>
      </c>
    </row>
    <row r="31" spans="1:5" x14ac:dyDescent="0.25">
      <c r="A31" s="22">
        <v>30</v>
      </c>
      <c r="B31" t="s">
        <v>524</v>
      </c>
      <c r="C31" t="s">
        <v>523</v>
      </c>
      <c r="D31" t="s">
        <v>525</v>
      </c>
      <c r="E31" t="s">
        <v>574</v>
      </c>
    </row>
    <row r="32" spans="1:5" x14ac:dyDescent="0.25">
      <c r="A32" s="22">
        <v>31</v>
      </c>
      <c r="B32" t="s">
        <v>19</v>
      </c>
      <c r="C32" t="s">
        <v>461</v>
      </c>
      <c r="D32" t="s">
        <v>494</v>
      </c>
      <c r="E32" t="s">
        <v>575</v>
      </c>
    </row>
    <row r="33" spans="1:5" x14ac:dyDescent="0.25">
      <c r="A33" s="22">
        <v>32</v>
      </c>
      <c r="B33" t="s">
        <v>526</v>
      </c>
      <c r="C33" t="s">
        <v>475</v>
      </c>
      <c r="D33" t="s">
        <v>494</v>
      </c>
      <c r="E33" t="s">
        <v>576</v>
      </c>
    </row>
    <row r="34" spans="1:5" x14ac:dyDescent="0.25">
      <c r="A34" s="22">
        <v>33</v>
      </c>
      <c r="B34" t="s">
        <v>527</v>
      </c>
      <c r="C34" t="s">
        <v>475</v>
      </c>
      <c r="D34" t="s">
        <v>494</v>
      </c>
      <c r="E34" t="s">
        <v>577</v>
      </c>
    </row>
    <row r="35" spans="1:5" x14ac:dyDescent="0.25">
      <c r="A35" s="22">
        <v>34</v>
      </c>
      <c r="B35" t="s">
        <v>528</v>
      </c>
      <c r="C35" t="s">
        <v>468</v>
      </c>
      <c r="D35" t="s">
        <v>510</v>
      </c>
      <c r="E35" t="s">
        <v>578</v>
      </c>
    </row>
    <row r="36" spans="1:5" x14ac:dyDescent="0.25">
      <c r="A36" s="22">
        <v>35</v>
      </c>
      <c r="B36" t="s">
        <v>529</v>
      </c>
      <c r="C36" t="s">
        <v>468</v>
      </c>
      <c r="D36" t="s">
        <v>494</v>
      </c>
      <c r="E36" t="s">
        <v>579</v>
      </c>
    </row>
    <row r="37" spans="1:5" x14ac:dyDescent="0.25">
      <c r="A37" s="22">
        <v>36</v>
      </c>
      <c r="B37" t="s">
        <v>530</v>
      </c>
      <c r="C37" t="s">
        <v>479</v>
      </c>
      <c r="D37" t="s">
        <v>494</v>
      </c>
      <c r="E37" t="s">
        <v>580</v>
      </c>
    </row>
    <row r="38" spans="1:5" x14ac:dyDescent="0.25">
      <c r="A38" s="22">
        <v>37</v>
      </c>
      <c r="B38" t="s">
        <v>531</v>
      </c>
      <c r="C38" t="s">
        <v>468</v>
      </c>
      <c r="D38" t="s">
        <v>494</v>
      </c>
      <c r="E38" t="s">
        <v>581</v>
      </c>
    </row>
    <row r="39" spans="1:5" x14ac:dyDescent="0.25">
      <c r="A39" s="22">
        <v>38</v>
      </c>
      <c r="B39" t="s">
        <v>532</v>
      </c>
      <c r="C39" t="s">
        <v>468</v>
      </c>
      <c r="D39" t="s">
        <v>494</v>
      </c>
      <c r="E39" t="s">
        <v>582</v>
      </c>
    </row>
    <row r="40" spans="1:5" x14ac:dyDescent="0.25">
      <c r="A40" s="22">
        <v>39</v>
      </c>
      <c r="B40" t="s">
        <v>533</v>
      </c>
      <c r="C40" t="s">
        <v>461</v>
      </c>
      <c r="D40" t="s">
        <v>494</v>
      </c>
      <c r="E40" t="s">
        <v>583</v>
      </c>
    </row>
    <row r="41" spans="1:5" x14ac:dyDescent="0.25">
      <c r="A41" s="22">
        <v>40</v>
      </c>
      <c r="B41" t="s">
        <v>534</v>
      </c>
      <c r="C41" t="s">
        <v>482</v>
      </c>
      <c r="D41" t="s">
        <v>510</v>
      </c>
      <c r="E41" t="s">
        <v>584</v>
      </c>
    </row>
    <row r="42" spans="1:5" x14ac:dyDescent="0.25">
      <c r="A42" s="22">
        <v>41</v>
      </c>
      <c r="B42" t="s">
        <v>535</v>
      </c>
      <c r="C42" t="s">
        <v>470</v>
      </c>
      <c r="D42" t="s">
        <v>494</v>
      </c>
      <c r="E42" t="s">
        <v>585</v>
      </c>
    </row>
    <row r="43" spans="1:5" x14ac:dyDescent="0.25">
      <c r="A43" s="22">
        <v>42</v>
      </c>
      <c r="B43" t="s">
        <v>536</v>
      </c>
      <c r="C43" t="s">
        <v>474</v>
      </c>
      <c r="D43" t="s">
        <v>494</v>
      </c>
      <c r="E43" t="s">
        <v>586</v>
      </c>
    </row>
    <row r="44" spans="1:5" x14ac:dyDescent="0.25">
      <c r="A44" s="22">
        <v>43</v>
      </c>
      <c r="B44" t="s">
        <v>537</v>
      </c>
      <c r="C44" t="s">
        <v>523</v>
      </c>
      <c r="D44" t="s">
        <v>510</v>
      </c>
      <c r="E44" t="s">
        <v>587</v>
      </c>
    </row>
    <row r="45" spans="1:5" x14ac:dyDescent="0.25">
      <c r="A45" s="22">
        <v>44</v>
      </c>
      <c r="B45" t="s">
        <v>538</v>
      </c>
      <c r="C45" t="s">
        <v>471</v>
      </c>
      <c r="D45" t="s">
        <v>494</v>
      </c>
      <c r="E45" t="s">
        <v>588</v>
      </c>
    </row>
    <row r="46" spans="1:5" x14ac:dyDescent="0.25">
      <c r="A46" s="22">
        <v>45</v>
      </c>
      <c r="B46" t="s">
        <v>539</v>
      </c>
      <c r="C46" t="s">
        <v>468</v>
      </c>
      <c r="D46" t="s">
        <v>494</v>
      </c>
      <c r="E46" t="s">
        <v>589</v>
      </c>
    </row>
    <row r="47" spans="1:5" x14ac:dyDescent="0.25">
      <c r="A47" s="22">
        <v>46</v>
      </c>
      <c r="B47" t="s">
        <v>540</v>
      </c>
      <c r="C47" t="s">
        <v>478</v>
      </c>
      <c r="D47" t="s">
        <v>494</v>
      </c>
      <c r="E47" t="s">
        <v>590</v>
      </c>
    </row>
    <row r="48" spans="1:5" x14ac:dyDescent="0.25">
      <c r="A48" s="22">
        <v>47</v>
      </c>
      <c r="B48" t="s">
        <v>541</v>
      </c>
      <c r="C48" t="s">
        <v>479</v>
      </c>
      <c r="D48" t="s">
        <v>494</v>
      </c>
      <c r="E48" t="s">
        <v>591</v>
      </c>
    </row>
    <row r="49" spans="1:5" x14ac:dyDescent="0.25">
      <c r="A49" s="22">
        <v>48</v>
      </c>
      <c r="B49" t="s">
        <v>542</v>
      </c>
      <c r="C49" t="s">
        <v>479</v>
      </c>
      <c r="D49" t="s">
        <v>494</v>
      </c>
      <c r="E49" t="s">
        <v>592</v>
      </c>
    </row>
    <row r="50" spans="1:5" x14ac:dyDescent="0.25">
      <c r="A50" s="22">
        <v>49</v>
      </c>
      <c r="B50" t="s">
        <v>543</v>
      </c>
      <c r="C50" t="s">
        <v>471</v>
      </c>
      <c r="D50" t="s">
        <v>510</v>
      </c>
      <c r="E50" t="s">
        <v>593</v>
      </c>
    </row>
    <row r="51" spans="1:5" x14ac:dyDescent="0.25">
      <c r="A51" s="22">
        <v>50</v>
      </c>
      <c r="B51" t="s">
        <v>544</v>
      </c>
      <c r="C51" t="s">
        <v>470</v>
      </c>
      <c r="D51" t="s">
        <v>494</v>
      </c>
      <c r="E51" t="s">
        <v>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2273-589A-4B1C-A39B-3F07FB9C91EE}">
  <sheetPr>
    <tabColor theme="8" tint="0.39997558519241921"/>
  </sheetPr>
  <dimension ref="A1:D25"/>
  <sheetViews>
    <sheetView workbookViewId="0">
      <selection activeCell="A7" sqref="A7"/>
    </sheetView>
  </sheetViews>
  <sheetFormatPr defaultRowHeight="15" x14ac:dyDescent="0.25"/>
  <cols>
    <col min="1" max="1" width="34.7109375" customWidth="1"/>
    <col min="3" max="3" width="13.42578125" customWidth="1"/>
    <col min="4" max="4" width="12.5703125" bestFit="1" customWidth="1"/>
  </cols>
  <sheetData>
    <row r="1" spans="1:4" x14ac:dyDescent="0.25">
      <c r="A1" s="21" t="s">
        <v>370</v>
      </c>
      <c r="B1" s="21"/>
      <c r="C1" s="21"/>
      <c r="D1" s="21"/>
    </row>
    <row r="3" spans="1:4" x14ac:dyDescent="0.25">
      <c r="A3" s="7" t="s">
        <v>354</v>
      </c>
    </row>
    <row r="4" spans="1:4" x14ac:dyDescent="0.25">
      <c r="A4" t="s">
        <v>357</v>
      </c>
    </row>
    <row r="5" spans="1:4" x14ac:dyDescent="0.25">
      <c r="A5" t="s">
        <v>360</v>
      </c>
    </row>
    <row r="6" spans="1:4" x14ac:dyDescent="0.25">
      <c r="A6" t="s">
        <v>356</v>
      </c>
    </row>
    <row r="7" spans="1:4" x14ac:dyDescent="0.25">
      <c r="A7" t="s">
        <v>355</v>
      </c>
      <c r="C7" s="6"/>
    </row>
    <row r="8" spans="1:4" x14ac:dyDescent="0.25">
      <c r="A8" t="s">
        <v>358</v>
      </c>
    </row>
    <row r="9" spans="1:4" x14ac:dyDescent="0.25">
      <c r="A9" t="s">
        <v>362</v>
      </c>
    </row>
    <row r="10" spans="1:4" x14ac:dyDescent="0.25">
      <c r="A10" t="s">
        <v>363</v>
      </c>
    </row>
    <row r="11" spans="1:4" x14ac:dyDescent="0.25">
      <c r="A11" t="s">
        <v>165</v>
      </c>
    </row>
    <row r="12" spans="1:4" x14ac:dyDescent="0.25">
      <c r="A12" t="s">
        <v>369</v>
      </c>
    </row>
    <row r="13" spans="1:4" x14ac:dyDescent="0.25">
      <c r="A13" t="s">
        <v>371</v>
      </c>
    </row>
    <row r="16" spans="1:4" x14ac:dyDescent="0.25">
      <c r="A16" s="7" t="s">
        <v>364</v>
      </c>
    </row>
    <row r="17" spans="1:4" x14ac:dyDescent="0.25">
      <c r="A17" t="s">
        <v>359</v>
      </c>
    </row>
    <row r="18" spans="1:4" x14ac:dyDescent="0.25">
      <c r="A18" t="s">
        <v>361</v>
      </c>
    </row>
    <row r="19" spans="1:4" x14ac:dyDescent="0.25">
      <c r="A19" t="s">
        <v>365</v>
      </c>
    </row>
    <row r="20" spans="1:4" x14ac:dyDescent="0.25">
      <c r="A20" t="s">
        <v>367</v>
      </c>
    </row>
    <row r="21" spans="1:4" x14ac:dyDescent="0.25">
      <c r="A21" t="s">
        <v>366</v>
      </c>
    </row>
    <row r="23" spans="1:4" x14ac:dyDescent="0.25">
      <c r="C23" s="6"/>
      <c r="D23" s="6"/>
    </row>
    <row r="25" spans="1:4" x14ac:dyDescent="0.25">
      <c r="A25" s="7" t="s">
        <v>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CD88-C503-4264-AC97-A39706C20F9D}">
  <dimension ref="A2:E11"/>
  <sheetViews>
    <sheetView workbookViewId="0">
      <selection activeCell="D3" sqref="D3"/>
    </sheetView>
  </sheetViews>
  <sheetFormatPr defaultRowHeight="15" x14ac:dyDescent="0.25"/>
  <cols>
    <col min="1" max="1" width="21.42578125" customWidth="1"/>
    <col min="2" max="2" width="19.5703125" customWidth="1"/>
    <col min="3" max="3" width="30.7109375" customWidth="1"/>
    <col min="4" max="4" width="20.7109375" customWidth="1"/>
    <col min="5" max="5" width="20.140625" customWidth="1"/>
  </cols>
  <sheetData>
    <row r="2" spans="1:5" x14ac:dyDescent="0.25">
      <c r="A2" s="7" t="s">
        <v>95</v>
      </c>
      <c r="B2" s="7" t="s">
        <v>96</v>
      </c>
      <c r="C2" s="7" t="s">
        <v>97</v>
      </c>
      <c r="D2" s="7" t="s">
        <v>98</v>
      </c>
      <c r="E2" s="7" t="s">
        <v>99</v>
      </c>
    </row>
    <row r="3" spans="1:5" x14ac:dyDescent="0.25">
      <c r="A3">
        <f>COUNTA('Supplier List'!B1:B51)*0.5</f>
        <v>25</v>
      </c>
      <c r="B3">
        <v>2</v>
      </c>
      <c r="C3">
        <f>A3*B3</f>
        <v>50</v>
      </c>
      <c r="D3" s="6">
        <f>3500</f>
        <v>3500</v>
      </c>
      <c r="E3" s="6">
        <f>C3*D3</f>
        <v>175000</v>
      </c>
    </row>
    <row r="8" spans="1:5" x14ac:dyDescent="0.25">
      <c r="A8" t="s">
        <v>133</v>
      </c>
    </row>
    <row r="9" spans="1:5" x14ac:dyDescent="0.25">
      <c r="A9" t="s">
        <v>134</v>
      </c>
    </row>
    <row r="10" spans="1:5" x14ac:dyDescent="0.25">
      <c r="A10" t="s">
        <v>136</v>
      </c>
    </row>
    <row r="11" spans="1:5" x14ac:dyDescent="0.25">
      <c r="A11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740E-7CEE-4125-8B8C-32E6E540AEAD}">
  <sheetPr>
    <tabColor theme="7" tint="0.59999389629810485"/>
  </sheetPr>
  <dimension ref="A1:G9"/>
  <sheetViews>
    <sheetView workbookViewId="0">
      <selection activeCell="C5" sqref="C5"/>
    </sheetView>
  </sheetViews>
  <sheetFormatPr defaultRowHeight="15" x14ac:dyDescent="0.25"/>
  <cols>
    <col min="1" max="1" width="59" customWidth="1"/>
    <col min="2" max="2" width="8.7109375" customWidth="1"/>
    <col min="3" max="3" width="10.28515625" style="44" customWidth="1"/>
    <col min="4" max="5" width="10.28515625" style="6" customWidth="1"/>
    <col min="6" max="6" width="9.140625" customWidth="1"/>
  </cols>
  <sheetData>
    <row r="1" spans="1:7" ht="22.5" x14ac:dyDescent="0.25">
      <c r="A1" s="31" t="s">
        <v>383</v>
      </c>
      <c r="B1" s="34" t="s">
        <v>112</v>
      </c>
      <c r="C1" s="35"/>
      <c r="D1" s="36"/>
      <c r="E1" s="37"/>
    </row>
    <row r="2" spans="1:7" x14ac:dyDescent="0.25">
      <c r="A2" s="32" t="s">
        <v>384</v>
      </c>
      <c r="B2" s="38" t="s">
        <v>385</v>
      </c>
      <c r="C2" s="28">
        <v>7.6999999999999999E-2</v>
      </c>
      <c r="D2" s="29">
        <v>518.12</v>
      </c>
      <c r="E2" s="39">
        <f>C2*D2</f>
        <v>39.895240000000001</v>
      </c>
      <c r="G2" t="s">
        <v>395</v>
      </c>
    </row>
    <row r="3" spans="1:7" x14ac:dyDescent="0.25">
      <c r="A3" s="32" t="s">
        <v>386</v>
      </c>
      <c r="B3" s="38" t="s">
        <v>387</v>
      </c>
      <c r="C3" s="28">
        <v>0.4</v>
      </c>
      <c r="D3" s="29">
        <v>140.56</v>
      </c>
      <c r="E3" s="39">
        <f t="shared" ref="E3:E9" si="0">C3*D3</f>
        <v>56.224000000000004</v>
      </c>
    </row>
    <row r="4" spans="1:7" x14ac:dyDescent="0.25">
      <c r="A4" s="32" t="s">
        <v>388</v>
      </c>
      <c r="B4" s="38" t="s">
        <v>389</v>
      </c>
      <c r="C4" s="28">
        <v>0.11</v>
      </c>
      <c r="D4" s="29">
        <v>7533.32</v>
      </c>
      <c r="E4" s="39">
        <f t="shared" si="0"/>
        <v>828.66520000000003</v>
      </c>
    </row>
    <row r="5" spans="1:7" x14ac:dyDescent="0.25">
      <c r="A5" s="32" t="s">
        <v>390</v>
      </c>
      <c r="B5" s="38" t="s">
        <v>391</v>
      </c>
      <c r="C5" s="28">
        <v>1.3919999999999999</v>
      </c>
      <c r="D5" s="29">
        <v>69.760000000000005</v>
      </c>
      <c r="E5" s="39">
        <f t="shared" si="0"/>
        <v>97.105919999999998</v>
      </c>
    </row>
    <row r="6" spans="1:7" x14ac:dyDescent="0.25">
      <c r="A6" s="32" t="s">
        <v>392</v>
      </c>
      <c r="B6" s="38" t="s">
        <v>391</v>
      </c>
      <c r="C6" s="28">
        <v>2.7839999999999998</v>
      </c>
      <c r="D6" s="29">
        <v>41.33</v>
      </c>
      <c r="E6" s="39">
        <f t="shared" si="0"/>
        <v>115.06271999999998</v>
      </c>
    </row>
    <row r="7" spans="1:7" x14ac:dyDescent="0.25">
      <c r="A7" s="32" t="s">
        <v>393</v>
      </c>
      <c r="B7" s="38"/>
      <c r="C7" s="28"/>
      <c r="D7" s="30"/>
      <c r="E7" s="39">
        <f t="shared" si="0"/>
        <v>0</v>
      </c>
    </row>
    <row r="8" spans="1:7" x14ac:dyDescent="0.25">
      <c r="A8" s="32" t="s">
        <v>394</v>
      </c>
      <c r="B8" s="38"/>
      <c r="C8" s="28"/>
      <c r="D8" s="30"/>
      <c r="E8" s="39">
        <f t="shared" si="0"/>
        <v>0</v>
      </c>
    </row>
    <row r="9" spans="1:7" ht="15.75" thickBot="1" x14ac:dyDescent="0.3">
      <c r="A9" s="33" t="s">
        <v>118</v>
      </c>
      <c r="B9" s="40" t="s">
        <v>112</v>
      </c>
      <c r="C9" s="41">
        <v>1</v>
      </c>
      <c r="D9" s="42"/>
      <c r="E9" s="43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04CE-6CD3-4D10-91EB-544EB1FC4465}">
  <sheetPr>
    <tabColor theme="7" tint="0.59999389629810485"/>
  </sheetPr>
  <dimension ref="A1:Z20"/>
  <sheetViews>
    <sheetView workbookViewId="0">
      <selection activeCell="Q9" sqref="Q9"/>
    </sheetView>
  </sheetViews>
  <sheetFormatPr defaultRowHeight="15" x14ac:dyDescent="0.25"/>
  <cols>
    <col min="1" max="1" width="31.7109375" bestFit="1" customWidth="1"/>
    <col min="2" max="2" width="9.42578125" customWidth="1"/>
    <col min="3" max="3" width="14.42578125" customWidth="1"/>
    <col min="4" max="4" width="11.85546875" bestFit="1" customWidth="1"/>
    <col min="5" max="5" width="11.85546875" customWidth="1"/>
    <col min="7" max="7" width="11" bestFit="1" customWidth="1"/>
    <col min="8" max="8" width="12.85546875" bestFit="1" customWidth="1"/>
    <col min="9" max="11" width="11" customWidth="1"/>
    <col min="17" max="17" width="13.42578125" customWidth="1"/>
    <col min="19" max="19" width="13.42578125" customWidth="1"/>
  </cols>
  <sheetData>
    <row r="1" spans="1:26" x14ac:dyDescent="0.25">
      <c r="D1" t="s">
        <v>185</v>
      </c>
      <c r="G1" t="s">
        <v>186</v>
      </c>
      <c r="J1" t="s">
        <v>258</v>
      </c>
    </row>
    <row r="2" spans="1:26" x14ac:dyDescent="0.25">
      <c r="J2">
        <v>300</v>
      </c>
      <c r="K2" t="s">
        <v>257</v>
      </c>
    </row>
    <row r="3" spans="1:26" x14ac:dyDescent="0.25">
      <c r="E3" s="15">
        <v>0.05</v>
      </c>
      <c r="J3">
        <f>4000</f>
        <v>4000</v>
      </c>
      <c r="K3" t="s">
        <v>256</v>
      </c>
      <c r="M3" s="15">
        <v>0.1</v>
      </c>
      <c r="O3" s="20">
        <v>7.4999999999999997E-2</v>
      </c>
      <c r="P3" s="20"/>
      <c r="R3" s="20">
        <v>0.05</v>
      </c>
    </row>
    <row r="4" spans="1:26" x14ac:dyDescent="0.25">
      <c r="A4" s="7" t="s">
        <v>157</v>
      </c>
      <c r="B4" s="7" t="s">
        <v>254</v>
      </c>
      <c r="C4" s="7" t="s">
        <v>114</v>
      </c>
      <c r="D4" t="s">
        <v>179</v>
      </c>
      <c r="E4" t="s">
        <v>189</v>
      </c>
      <c r="G4" s="23" t="s">
        <v>180</v>
      </c>
      <c r="H4" s="23"/>
      <c r="J4" t="s">
        <v>249</v>
      </c>
      <c r="M4" t="s">
        <v>182</v>
      </c>
      <c r="O4" t="s">
        <v>181</v>
      </c>
      <c r="Q4" t="s">
        <v>184</v>
      </c>
      <c r="R4" t="s">
        <v>264</v>
      </c>
      <c r="S4" t="s">
        <v>265</v>
      </c>
      <c r="V4" t="s">
        <v>255</v>
      </c>
      <c r="Z4" s="15">
        <v>0.1</v>
      </c>
    </row>
    <row r="5" spans="1:26" x14ac:dyDescent="0.25">
      <c r="A5" s="7"/>
      <c r="B5" s="7"/>
      <c r="G5" t="s">
        <v>187</v>
      </c>
      <c r="H5" t="s">
        <v>188</v>
      </c>
      <c r="V5" t="s">
        <v>187</v>
      </c>
      <c r="X5" t="s">
        <v>262</v>
      </c>
      <c r="Z5" t="s">
        <v>263</v>
      </c>
    </row>
    <row r="6" spans="1:26" x14ac:dyDescent="0.25">
      <c r="A6" s="7"/>
      <c r="B6" s="7"/>
    </row>
    <row r="7" spans="1:26" x14ac:dyDescent="0.25">
      <c r="A7" t="s">
        <v>311</v>
      </c>
      <c r="B7" s="7"/>
    </row>
    <row r="9" spans="1:26" x14ac:dyDescent="0.25">
      <c r="A9" t="s">
        <v>183</v>
      </c>
      <c r="B9" t="s">
        <v>338</v>
      </c>
      <c r="D9" s="17">
        <f>'Supplier - Saint Gobain'!J7/'Supplier - Saint Gobain'!O7</f>
        <v>125</v>
      </c>
      <c r="E9" s="6">
        <f>D9*E3</f>
        <v>6.25</v>
      </c>
      <c r="F9" s="6"/>
      <c r="G9" s="6">
        <f>Z9</f>
        <v>66</v>
      </c>
      <c r="H9" s="6">
        <v>20</v>
      </c>
      <c r="I9" s="6"/>
      <c r="J9" s="24">
        <f>J3/J2</f>
        <v>13.333333333333334</v>
      </c>
      <c r="K9" s="24"/>
      <c r="L9" s="6"/>
      <c r="M9" s="24">
        <f>SUM(D9:L9)*M3</f>
        <v>23.058333333333337</v>
      </c>
      <c r="N9" s="24"/>
      <c r="O9" s="24">
        <f>SUM(D9:N9)*O3</f>
        <v>19.023125</v>
      </c>
      <c r="P9" s="24"/>
      <c r="Q9" s="24">
        <f>SUM(D9:P9)</f>
        <v>272.6647916666667</v>
      </c>
      <c r="R9" s="24">
        <f>SUM(G9:Q9)*R3</f>
        <v>20.70397916666667</v>
      </c>
      <c r="S9" s="24">
        <f>SUM(F9:R9)</f>
        <v>434.78356250000007</v>
      </c>
      <c r="V9" s="6">
        <f>75*8</f>
        <v>600</v>
      </c>
      <c r="W9" t="s">
        <v>261</v>
      </c>
      <c r="X9">
        <v>10</v>
      </c>
      <c r="Y9" s="6">
        <f>V9/X9</f>
        <v>60</v>
      </c>
      <c r="Z9" s="6">
        <f>Y9*(1+Z4)</f>
        <v>66</v>
      </c>
    </row>
    <row r="11" spans="1:26" x14ac:dyDescent="0.25">
      <c r="A11" t="s">
        <v>248</v>
      </c>
    </row>
    <row r="15" spans="1:26" x14ac:dyDescent="0.25">
      <c r="M15" t="s">
        <v>250</v>
      </c>
    </row>
    <row r="16" spans="1:26" x14ac:dyDescent="0.25">
      <c r="M16" t="s">
        <v>251</v>
      </c>
    </row>
    <row r="17" spans="13:13" x14ac:dyDescent="0.25">
      <c r="M17" t="s">
        <v>252</v>
      </c>
    </row>
    <row r="18" spans="13:13" x14ac:dyDescent="0.25">
      <c r="M18" t="s">
        <v>253</v>
      </c>
    </row>
    <row r="19" spans="13:13" x14ac:dyDescent="0.25">
      <c r="M19" t="s">
        <v>259</v>
      </c>
    </row>
    <row r="20" spans="13:13" x14ac:dyDescent="0.25">
      <c r="M20" t="s">
        <v>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77E7-75AF-489C-ABBD-E03184964CF7}">
  <sheetPr>
    <tabColor theme="7" tint="0.59999389629810485"/>
  </sheetPr>
  <dimension ref="A1:E3"/>
  <sheetViews>
    <sheetView workbookViewId="0">
      <selection activeCell="D1" sqref="D1:D1048576"/>
    </sheetView>
  </sheetViews>
  <sheetFormatPr defaultRowHeight="15" x14ac:dyDescent="0.25"/>
  <sheetData>
    <row r="1" spans="1:5" x14ac:dyDescent="0.25">
      <c r="B1" t="s">
        <v>161</v>
      </c>
      <c r="C1" t="s">
        <v>341</v>
      </c>
      <c r="E1" t="s">
        <v>342</v>
      </c>
    </row>
    <row r="2" spans="1:5" x14ac:dyDescent="0.25">
      <c r="A2" t="s">
        <v>339</v>
      </c>
    </row>
    <row r="3" spans="1:5" x14ac:dyDescent="0.25">
      <c r="A3" t="s">
        <v>340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3FDA-D079-46C0-BD0B-086959836E49}">
  <sheetPr>
    <tabColor theme="7" tint="0.59999389629810485"/>
  </sheetPr>
  <dimension ref="A1:Q22"/>
  <sheetViews>
    <sheetView workbookViewId="0">
      <selection activeCell="J7" sqref="J7"/>
    </sheetView>
  </sheetViews>
  <sheetFormatPr defaultRowHeight="15" x14ac:dyDescent="0.25"/>
  <cols>
    <col min="1" max="1" width="34.5703125" customWidth="1"/>
    <col min="2" max="2" width="12.28515625" customWidth="1"/>
    <col min="3" max="3" width="7" customWidth="1"/>
    <col min="4" max="7" width="10.140625" customWidth="1"/>
    <col min="8" max="8" width="11.85546875" bestFit="1" customWidth="1"/>
    <col min="9" max="10" width="19.140625" customWidth="1"/>
    <col min="11" max="11" width="15.42578125" bestFit="1" customWidth="1"/>
    <col min="12" max="13" width="13.7109375" customWidth="1"/>
    <col min="15" max="15" width="16.5703125" customWidth="1"/>
  </cols>
  <sheetData>
    <row r="1" spans="1:17" x14ac:dyDescent="0.25">
      <c r="A1" s="7" t="s">
        <v>157</v>
      </c>
      <c r="C1" s="7"/>
      <c r="I1" s="15">
        <v>0.05</v>
      </c>
      <c r="J1" s="15">
        <v>0.1</v>
      </c>
      <c r="K1" s="15">
        <v>0.1</v>
      </c>
    </row>
    <row r="2" spans="1:17" x14ac:dyDescent="0.25">
      <c r="A2" s="7"/>
      <c r="C2" s="7"/>
      <c r="I2" s="15"/>
      <c r="J2" s="15"/>
      <c r="K2" s="15"/>
    </row>
    <row r="3" spans="1:17" x14ac:dyDescent="0.25">
      <c r="A3" s="7"/>
      <c r="C3" s="7"/>
      <c r="I3" s="15"/>
      <c r="J3" s="15"/>
      <c r="K3" s="15"/>
      <c r="L3" s="26"/>
      <c r="M3" s="26"/>
    </row>
    <row r="4" spans="1:17" x14ac:dyDescent="0.25">
      <c r="A4" t="s">
        <v>1</v>
      </c>
      <c r="B4" t="s">
        <v>268</v>
      </c>
      <c r="C4" t="s">
        <v>254</v>
      </c>
      <c r="D4" t="s">
        <v>266</v>
      </c>
      <c r="E4" t="s">
        <v>267</v>
      </c>
      <c r="F4" t="s">
        <v>304</v>
      </c>
      <c r="G4" t="s">
        <v>305</v>
      </c>
      <c r="H4" t="s">
        <v>179</v>
      </c>
      <c r="I4" t="s">
        <v>318</v>
      </c>
      <c r="J4" t="s">
        <v>192</v>
      </c>
      <c r="K4" t="s">
        <v>326</v>
      </c>
      <c r="L4" t="s">
        <v>184</v>
      </c>
      <c r="O4" t="s">
        <v>269</v>
      </c>
    </row>
    <row r="6" spans="1:17" x14ac:dyDescent="0.25">
      <c r="A6" s="21" t="s">
        <v>193</v>
      </c>
      <c r="C6" s="21"/>
    </row>
    <row r="7" spans="1:17" x14ac:dyDescent="0.25">
      <c r="A7" t="s">
        <v>194</v>
      </c>
      <c r="B7" t="s">
        <v>247</v>
      </c>
      <c r="C7" t="s">
        <v>317</v>
      </c>
      <c r="D7">
        <v>1.2</v>
      </c>
      <c r="E7">
        <v>0.6</v>
      </c>
      <c r="H7" s="6">
        <f>100</f>
        <v>100</v>
      </c>
      <c r="I7" s="6"/>
      <c r="J7" s="6">
        <f>(H7+I7)*(100%-J1)</f>
        <v>90</v>
      </c>
      <c r="K7" s="6">
        <f>SUM(J7)*K1</f>
        <v>9</v>
      </c>
      <c r="L7" s="6">
        <f>SUM(J7:K7)</f>
        <v>99</v>
      </c>
      <c r="M7" s="6"/>
      <c r="O7">
        <f>D7*E7</f>
        <v>0.72</v>
      </c>
      <c r="P7" t="s">
        <v>112</v>
      </c>
      <c r="Q7" t="s">
        <v>332</v>
      </c>
    </row>
    <row r="8" spans="1:17" x14ac:dyDescent="0.25">
      <c r="A8" t="s">
        <v>195</v>
      </c>
    </row>
    <row r="9" spans="1:17" x14ac:dyDescent="0.25">
      <c r="A9" t="s">
        <v>196</v>
      </c>
    </row>
    <row r="10" spans="1:17" x14ac:dyDescent="0.25">
      <c r="A10" t="s">
        <v>197</v>
      </c>
    </row>
    <row r="11" spans="1:17" x14ac:dyDescent="0.25">
      <c r="A11" t="s">
        <v>198</v>
      </c>
    </row>
    <row r="12" spans="1:17" x14ac:dyDescent="0.25">
      <c r="A12" t="s">
        <v>199</v>
      </c>
    </row>
    <row r="14" spans="1:17" x14ac:dyDescent="0.25">
      <c r="A14" t="s">
        <v>190</v>
      </c>
    </row>
    <row r="15" spans="1:17" x14ac:dyDescent="0.25">
      <c r="A15" t="s">
        <v>191</v>
      </c>
    </row>
    <row r="17" spans="1:13" x14ac:dyDescent="0.25">
      <c r="A17" t="s">
        <v>270</v>
      </c>
    </row>
    <row r="18" spans="1:13" x14ac:dyDescent="0.25">
      <c r="A18" t="s">
        <v>271</v>
      </c>
    </row>
    <row r="20" spans="1:13" x14ac:dyDescent="0.25">
      <c r="M20" s="27"/>
    </row>
    <row r="21" spans="1:13" x14ac:dyDescent="0.25">
      <c r="M21" s="27"/>
    </row>
    <row r="22" spans="1:13" x14ac:dyDescent="0.25">
      <c r="M22" s="2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5BC1-D0D9-478A-9768-CCB03F7F8AFA}">
  <sheetPr>
    <tabColor theme="5" tint="0.59999389629810485"/>
  </sheetPr>
  <dimension ref="A1:AB36"/>
  <sheetViews>
    <sheetView topLeftCell="G1" workbookViewId="0">
      <selection activeCell="K5" sqref="K5"/>
    </sheetView>
  </sheetViews>
  <sheetFormatPr defaultRowHeight="15" x14ac:dyDescent="0.25"/>
  <cols>
    <col min="1" max="1" width="28" customWidth="1"/>
    <col min="8" max="8" width="35.7109375" customWidth="1"/>
    <col min="9" max="9" width="10.85546875" customWidth="1"/>
    <col min="10" max="10" width="18" customWidth="1"/>
    <col min="11" max="11" width="10.85546875" customWidth="1"/>
    <col min="12" max="13" width="10.85546875" style="61" customWidth="1"/>
    <col min="14" max="14" width="18.42578125" style="61" customWidth="1"/>
    <col min="15" max="15" width="7.28515625" style="17" customWidth="1"/>
    <col min="16" max="17" width="7.28515625" customWidth="1"/>
    <col min="18" max="18" width="7.28515625" style="6" customWidth="1"/>
    <col min="19" max="19" width="10.5703125" bestFit="1" customWidth="1"/>
    <col min="20" max="20" width="15.42578125" style="6" customWidth="1"/>
    <col min="21" max="21" width="14.42578125" customWidth="1"/>
  </cols>
  <sheetData>
    <row r="1" spans="1:28" ht="15.75" thickBot="1" x14ac:dyDescent="0.3">
      <c r="A1" s="46" t="s">
        <v>1</v>
      </c>
      <c r="B1" s="34" t="s">
        <v>9</v>
      </c>
      <c r="C1" s="35" t="s">
        <v>160</v>
      </c>
      <c r="D1" s="36" t="s">
        <v>118</v>
      </c>
      <c r="E1" s="37" t="s">
        <v>399</v>
      </c>
    </row>
    <row r="2" spans="1:28" ht="22.5" x14ac:dyDescent="0.25">
      <c r="A2" s="48" t="s">
        <v>396</v>
      </c>
      <c r="B2" s="49" t="s">
        <v>112</v>
      </c>
      <c r="C2" s="50"/>
      <c r="D2" s="51"/>
      <c r="E2" s="52"/>
      <c r="H2" s="72" t="s">
        <v>409</v>
      </c>
      <c r="I2" s="72"/>
      <c r="J2" s="61"/>
      <c r="K2" s="17"/>
      <c r="M2" s="17"/>
    </row>
    <row r="3" spans="1:28" ht="22.5" x14ac:dyDescent="0.25">
      <c r="A3" s="47" t="s">
        <v>397</v>
      </c>
      <c r="B3" s="45" t="s">
        <v>112</v>
      </c>
      <c r="C3" s="28">
        <f>1</f>
        <v>1</v>
      </c>
      <c r="D3" s="29">
        <f>M8</f>
        <v>145.5</v>
      </c>
      <c r="E3" s="39">
        <f>C3*D3</f>
        <v>145.5</v>
      </c>
      <c r="H3" s="61"/>
      <c r="I3" s="61"/>
      <c r="J3" s="61"/>
      <c r="K3" s="17"/>
      <c r="M3" s="17"/>
    </row>
    <row r="4" spans="1:28" x14ac:dyDescent="0.25">
      <c r="A4" s="47" t="s">
        <v>392</v>
      </c>
      <c r="B4" s="45" t="s">
        <v>391</v>
      </c>
      <c r="C4" s="28">
        <f>L14</f>
        <v>0.26666666666666666</v>
      </c>
      <c r="D4" s="29">
        <f>M14</f>
        <v>41.33</v>
      </c>
      <c r="E4" s="39">
        <f t="shared" ref="E4:E7" si="0">C4*D4</f>
        <v>11.021333333333333</v>
      </c>
      <c r="H4" s="63" t="s">
        <v>1</v>
      </c>
      <c r="I4" s="63" t="s">
        <v>254</v>
      </c>
      <c r="J4" s="63" t="s">
        <v>160</v>
      </c>
      <c r="K4" s="64" t="s">
        <v>412</v>
      </c>
      <c r="L4" s="63" t="s">
        <v>414</v>
      </c>
      <c r="M4" s="64" t="s">
        <v>413</v>
      </c>
    </row>
    <row r="5" spans="1:28" x14ac:dyDescent="0.25">
      <c r="A5" s="47" t="s">
        <v>398</v>
      </c>
      <c r="B5" s="45" t="s">
        <v>391</v>
      </c>
      <c r="C5" s="28">
        <f>L15</f>
        <v>0.13333333333333333</v>
      </c>
      <c r="D5" s="29">
        <f>M15</f>
        <v>69.760000000000005</v>
      </c>
      <c r="E5" s="39">
        <f t="shared" si="0"/>
        <v>9.3013333333333339</v>
      </c>
      <c r="H5" s="76" t="s">
        <v>397</v>
      </c>
      <c r="I5" s="76" t="s">
        <v>411</v>
      </c>
      <c r="J5" s="77">
        <f>1+I9</f>
        <v>1.05</v>
      </c>
      <c r="K5" s="78">
        <f>'Back End Supplier'!B5</f>
        <v>165</v>
      </c>
      <c r="L5" s="77">
        <f>Z6</f>
        <v>1.4285714285714286</v>
      </c>
      <c r="M5" s="78">
        <f>K5/L5</f>
        <v>115.5</v>
      </c>
      <c r="W5" s="73" t="s">
        <v>128</v>
      </c>
      <c r="X5" s="73" t="s">
        <v>415</v>
      </c>
      <c r="Y5" s="63" t="s">
        <v>338</v>
      </c>
      <c r="Z5" s="75" t="s">
        <v>418</v>
      </c>
    </row>
    <row r="6" spans="1:28" x14ac:dyDescent="0.25">
      <c r="A6" s="47" t="s">
        <v>393</v>
      </c>
      <c r="B6" s="45"/>
      <c r="C6" s="85">
        <v>2.5000000000000001E-2</v>
      </c>
      <c r="D6" s="29">
        <f>SUM(E3:E5)</f>
        <v>165.82266666666666</v>
      </c>
      <c r="E6" s="39">
        <f t="shared" si="0"/>
        <v>4.1455666666666664</v>
      </c>
      <c r="H6" s="79" t="s">
        <v>410</v>
      </c>
      <c r="I6" s="79" t="s">
        <v>419</v>
      </c>
      <c r="J6" s="80">
        <v>1</v>
      </c>
      <c r="K6" s="81">
        <v>50</v>
      </c>
      <c r="L6" s="77">
        <f>Z7</f>
        <v>2.5</v>
      </c>
      <c r="M6" s="78">
        <f>K6/L6</f>
        <v>20</v>
      </c>
      <c r="W6">
        <f>0.5*0.5</f>
        <v>0.25</v>
      </c>
      <c r="X6">
        <v>6</v>
      </c>
      <c r="Y6">
        <f>W6*X6</f>
        <v>1.5</v>
      </c>
      <c r="Z6" s="59">
        <f>Y6/J5</f>
        <v>1.4285714285714286</v>
      </c>
      <c r="AA6" t="s">
        <v>416</v>
      </c>
      <c r="AB6" s="59">
        <f>J5/Y6</f>
        <v>0.70000000000000007</v>
      </c>
    </row>
    <row r="7" spans="1:28" ht="15.75" thickBot="1" x14ac:dyDescent="0.3">
      <c r="A7" s="47" t="s">
        <v>394</v>
      </c>
      <c r="B7" s="45"/>
      <c r="C7" s="85">
        <v>0.1</v>
      </c>
      <c r="D7" s="29">
        <f>SUM(E3:E6)</f>
        <v>169.96823333333333</v>
      </c>
      <c r="E7" s="39">
        <f t="shared" si="0"/>
        <v>16.996823333333335</v>
      </c>
      <c r="H7" s="79" t="s">
        <v>248</v>
      </c>
      <c r="I7" s="79" t="s">
        <v>417</v>
      </c>
      <c r="J7" s="80">
        <v>1</v>
      </c>
      <c r="K7" s="81">
        <f>5000/500</f>
        <v>10</v>
      </c>
      <c r="L7" s="80">
        <f>5000/5000</f>
        <v>1</v>
      </c>
      <c r="M7" s="78">
        <f>K7/L7</f>
        <v>10</v>
      </c>
      <c r="W7">
        <v>200</v>
      </c>
      <c r="X7">
        <v>80</v>
      </c>
      <c r="Y7">
        <f>W7/X7</f>
        <v>2.5</v>
      </c>
      <c r="Z7" s="59">
        <f>Y7/J6</f>
        <v>2.5</v>
      </c>
      <c r="AA7" t="s">
        <v>419</v>
      </c>
    </row>
    <row r="8" spans="1:28" ht="15.75" thickBot="1" x14ac:dyDescent="0.3">
      <c r="A8" s="53" t="s">
        <v>118</v>
      </c>
      <c r="B8" s="54" t="s">
        <v>112</v>
      </c>
      <c r="C8" s="55"/>
      <c r="D8" s="56"/>
      <c r="E8" s="57">
        <f>SUM(E3:E7)</f>
        <v>186.96505666666667</v>
      </c>
      <c r="J8" s="6"/>
      <c r="L8" s="6"/>
      <c r="M8" s="82">
        <f>SUM(M5:M7)</f>
        <v>145.5</v>
      </c>
      <c r="Z8" s="59"/>
    </row>
    <row r="9" spans="1:28" x14ac:dyDescent="0.25">
      <c r="H9" s="86" t="s">
        <v>420</v>
      </c>
      <c r="I9" s="87">
        <v>0.05</v>
      </c>
    </row>
    <row r="10" spans="1:28" ht="15.75" thickBot="1" x14ac:dyDescent="0.3">
      <c r="S10">
        <f>500/5000</f>
        <v>0.1</v>
      </c>
    </row>
    <row r="11" spans="1:28" ht="15.75" thickBot="1" x14ac:dyDescent="0.3">
      <c r="A11" s="46" t="s">
        <v>402</v>
      </c>
      <c r="B11" s="34" t="s">
        <v>9</v>
      </c>
      <c r="C11" s="35"/>
      <c r="D11" s="36" t="s">
        <v>401</v>
      </c>
      <c r="E11" s="37"/>
      <c r="H11" s="72" t="s">
        <v>187</v>
      </c>
      <c r="I11" s="61"/>
      <c r="J11" s="61"/>
      <c r="K11" s="17"/>
      <c r="L11"/>
      <c r="M11" s="6"/>
    </row>
    <row r="12" spans="1:28" x14ac:dyDescent="0.25">
      <c r="A12" s="58" t="s">
        <v>392</v>
      </c>
      <c r="B12" s="49" t="s">
        <v>391</v>
      </c>
      <c r="C12" s="50"/>
      <c r="D12" s="83">
        <f>41.33</f>
        <v>41.33</v>
      </c>
      <c r="E12" s="52"/>
      <c r="H12" s="61"/>
      <c r="I12" s="61"/>
      <c r="J12" s="61"/>
      <c r="K12" s="17"/>
      <c r="L12"/>
      <c r="M12" s="6"/>
    </row>
    <row r="13" spans="1:28" x14ac:dyDescent="0.25">
      <c r="A13" s="47" t="s">
        <v>398</v>
      </c>
      <c r="B13" s="45" t="s">
        <v>391</v>
      </c>
      <c r="C13" s="28"/>
      <c r="D13" s="84">
        <v>69.760000000000005</v>
      </c>
      <c r="E13" s="39"/>
      <c r="H13" s="63" t="s">
        <v>404</v>
      </c>
      <c r="I13" s="63" t="s">
        <v>405</v>
      </c>
      <c r="J13" s="63" t="s">
        <v>406</v>
      </c>
      <c r="K13" s="64" t="s">
        <v>317</v>
      </c>
      <c r="L13" s="63" t="s">
        <v>408</v>
      </c>
      <c r="M13" s="63" t="s">
        <v>401</v>
      </c>
    </row>
    <row r="14" spans="1:28" x14ac:dyDescent="0.25">
      <c r="A14" s="47" t="s">
        <v>400</v>
      </c>
      <c r="B14" s="45" t="s">
        <v>391</v>
      </c>
      <c r="C14" s="28"/>
      <c r="D14" s="84">
        <v>121.54</v>
      </c>
      <c r="E14" s="39"/>
      <c r="H14" s="67">
        <v>8</v>
      </c>
      <c r="I14" s="70">
        <v>60</v>
      </c>
      <c r="J14" s="65">
        <f>H14/I14</f>
        <v>0.13333333333333333</v>
      </c>
      <c r="K14" s="67">
        <v>2</v>
      </c>
      <c r="L14" s="65">
        <f>J14*K14</f>
        <v>0.26666666666666666</v>
      </c>
      <c r="M14" s="69">
        <v>41.33</v>
      </c>
      <c r="S14">
        <f>200</f>
        <v>200</v>
      </c>
      <c r="T14" s="6">
        <f>1.5</f>
        <v>1.5</v>
      </c>
      <c r="U14" s="6">
        <f>S14/T14</f>
        <v>133.33333333333334</v>
      </c>
    </row>
    <row r="15" spans="1:28" x14ac:dyDescent="0.25">
      <c r="A15" s="47" t="s">
        <v>403</v>
      </c>
      <c r="B15" s="45" t="s">
        <v>338</v>
      </c>
      <c r="C15" s="28"/>
      <c r="D15" s="29"/>
      <c r="E15" s="39"/>
      <c r="H15" s="68">
        <f>8</f>
        <v>8</v>
      </c>
      <c r="I15" s="71">
        <v>60</v>
      </c>
      <c r="J15" s="66">
        <f>H15/I15</f>
        <v>0.13333333333333333</v>
      </c>
      <c r="K15" s="68">
        <v>1</v>
      </c>
      <c r="L15" s="66">
        <f>J15*K15</f>
        <v>0.13333333333333333</v>
      </c>
      <c r="M15" s="69">
        <v>69.760000000000005</v>
      </c>
      <c r="S15">
        <v>50</v>
      </c>
      <c r="T15" s="6">
        <v>200</v>
      </c>
      <c r="U15" s="6">
        <f>S15/T15</f>
        <v>0.25</v>
      </c>
    </row>
    <row r="16" spans="1:28" x14ac:dyDescent="0.25">
      <c r="A16" s="47"/>
      <c r="B16" s="45"/>
      <c r="C16" s="28"/>
      <c r="D16" s="29"/>
      <c r="E16" s="39"/>
      <c r="H16" s="61"/>
      <c r="I16" s="61"/>
      <c r="J16" s="61"/>
      <c r="K16" s="17"/>
      <c r="L16"/>
      <c r="M16" s="6"/>
    </row>
    <row r="17" spans="1:22" x14ac:dyDescent="0.25">
      <c r="A17" s="47"/>
      <c r="B17" s="45"/>
      <c r="C17" s="28"/>
      <c r="D17" s="29"/>
      <c r="E17" s="39"/>
      <c r="H17" s="62" t="s">
        <v>407</v>
      </c>
      <c r="I17" s="61"/>
      <c r="J17" s="61"/>
      <c r="K17" s="17"/>
      <c r="L17"/>
      <c r="M17" s="6"/>
    </row>
    <row r="18" spans="1:22" x14ac:dyDescent="0.25">
      <c r="A18" s="47"/>
      <c r="B18" s="45"/>
      <c r="C18" s="28"/>
      <c r="D18" s="29"/>
      <c r="E18" s="39"/>
      <c r="V18" s="74"/>
    </row>
    <row r="19" spans="1:22" x14ac:dyDescent="0.25">
      <c r="A19" s="47"/>
      <c r="B19" s="45"/>
      <c r="C19" s="28"/>
      <c r="D19" s="29"/>
      <c r="E19" s="39"/>
    </row>
    <row r="20" spans="1:22" x14ac:dyDescent="0.25">
      <c r="A20" s="47"/>
      <c r="B20" s="45"/>
      <c r="C20" s="28"/>
      <c r="D20" s="29"/>
      <c r="E20" s="39"/>
    </row>
    <row r="21" spans="1:22" x14ac:dyDescent="0.25">
      <c r="H21" s="72" t="s">
        <v>446</v>
      </c>
      <c r="I21" s="61"/>
      <c r="J21" s="61"/>
      <c r="K21" s="17"/>
      <c r="L21"/>
      <c r="M21" s="6"/>
    </row>
    <row r="22" spans="1:22" x14ac:dyDescent="0.25">
      <c r="H22" s="61"/>
      <c r="I22" s="61"/>
      <c r="J22" s="61"/>
      <c r="K22" s="17"/>
      <c r="L22"/>
      <c r="M22" s="6"/>
    </row>
    <row r="23" spans="1:22" x14ac:dyDescent="0.25">
      <c r="H23" s="63" t="s">
        <v>404</v>
      </c>
      <c r="I23" s="63" t="s">
        <v>405</v>
      </c>
      <c r="J23" s="63" t="s">
        <v>406</v>
      </c>
      <c r="K23" s="64" t="s">
        <v>317</v>
      </c>
      <c r="L23" s="63" t="s">
        <v>408</v>
      </c>
      <c r="M23" s="63" t="s">
        <v>401</v>
      </c>
    </row>
    <row r="24" spans="1:22" x14ac:dyDescent="0.25">
      <c r="H24" s="76" t="s">
        <v>397</v>
      </c>
      <c r="I24" s="76" t="s">
        <v>411</v>
      </c>
      <c r="J24" s="77">
        <f>1+I28</f>
        <v>1</v>
      </c>
      <c r="K24" s="78">
        <f>'Back End Supplier'!B24</f>
        <v>0</v>
      </c>
      <c r="L24" s="77">
        <f>Z25</f>
        <v>0</v>
      </c>
      <c r="M24" s="78" t="e">
        <f>K24/L24</f>
        <v>#DIV/0!</v>
      </c>
    </row>
    <row r="25" spans="1:22" x14ac:dyDescent="0.25">
      <c r="H25" s="79" t="s">
        <v>410</v>
      </c>
      <c r="I25" s="79" t="s">
        <v>419</v>
      </c>
      <c r="J25" s="80">
        <v>1</v>
      </c>
      <c r="K25" s="81">
        <v>50</v>
      </c>
      <c r="L25" s="77">
        <f>Z26</f>
        <v>0</v>
      </c>
      <c r="M25" s="78" t="e">
        <f>K25/L25</f>
        <v>#DIV/0!</v>
      </c>
    </row>
    <row r="28" spans="1:22" x14ac:dyDescent="0.25">
      <c r="H28" s="72" t="s">
        <v>188</v>
      </c>
      <c r="I28" s="61"/>
      <c r="J28" s="61"/>
      <c r="K28" s="17"/>
      <c r="L28"/>
      <c r="M28" s="6"/>
    </row>
    <row r="29" spans="1:22" x14ac:dyDescent="0.25">
      <c r="H29" s="61"/>
      <c r="I29" s="61"/>
      <c r="J29" s="61"/>
      <c r="K29" s="17"/>
      <c r="L29"/>
      <c r="M29" s="6"/>
    </row>
    <row r="30" spans="1:22" x14ac:dyDescent="0.25">
      <c r="H30" s="63" t="s">
        <v>404</v>
      </c>
      <c r="I30" s="63" t="s">
        <v>405</v>
      </c>
      <c r="J30" s="63" t="s">
        <v>406</v>
      </c>
      <c r="K30" s="64" t="s">
        <v>317</v>
      </c>
      <c r="L30" s="63" t="s">
        <v>408</v>
      </c>
      <c r="M30" s="63" t="s">
        <v>401</v>
      </c>
    </row>
    <row r="31" spans="1:22" x14ac:dyDescent="0.25">
      <c r="H31" s="76" t="s">
        <v>397</v>
      </c>
      <c r="I31" s="76" t="s">
        <v>411</v>
      </c>
      <c r="J31" s="77">
        <f>1+I35</f>
        <v>1</v>
      </c>
      <c r="K31" s="78">
        <f>'Back End Supplier'!B31</f>
        <v>0</v>
      </c>
      <c r="L31" s="77">
        <f>Z32</f>
        <v>0</v>
      </c>
      <c r="M31" s="78" t="e">
        <f>K31/L31</f>
        <v>#DIV/0!</v>
      </c>
    </row>
    <row r="32" spans="1:22" x14ac:dyDescent="0.25">
      <c r="H32" s="79" t="s">
        <v>410</v>
      </c>
      <c r="I32" s="79" t="s">
        <v>419</v>
      </c>
      <c r="J32" s="80">
        <v>1</v>
      </c>
      <c r="K32" s="81">
        <v>50</v>
      </c>
      <c r="L32" s="77">
        <f>Z33</f>
        <v>0</v>
      </c>
      <c r="M32" s="78" t="e">
        <f>K32/L32</f>
        <v>#DIV/0!</v>
      </c>
    </row>
    <row r="35" spans="7:8" x14ac:dyDescent="0.25">
      <c r="G35" s="7"/>
      <c r="H35" s="7"/>
    </row>
    <row r="36" spans="7:8" x14ac:dyDescent="0.25">
      <c r="G36" s="7" t="s">
        <v>448</v>
      </c>
      <c r="H36" s="7" t="s">
        <v>447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12CB-57CE-4C8F-BEF5-B6B83E6BBD0D}">
  <sheetPr>
    <tabColor theme="5" tint="0.59999389629810485"/>
  </sheetPr>
  <dimension ref="A1:I17"/>
  <sheetViews>
    <sheetView tabSelected="1" zoomScale="130" zoomScaleNormal="130" workbookViewId="0">
      <selection activeCell="E1" sqref="E1:G1"/>
    </sheetView>
  </sheetViews>
  <sheetFormatPr defaultRowHeight="15" x14ac:dyDescent="0.25"/>
  <cols>
    <col min="1" max="1" width="40" customWidth="1"/>
    <col min="2" max="2" width="9.85546875" customWidth="1"/>
    <col min="3" max="3" width="9.140625" style="22"/>
    <col min="4" max="4" width="13.140625" customWidth="1"/>
    <col min="5" max="5" width="14.7109375" customWidth="1"/>
    <col min="6" max="7" width="14.7109375" style="61" customWidth="1"/>
    <col min="8" max="8" width="18.42578125" style="61" customWidth="1"/>
    <col min="9" max="9" width="9.140625" style="17"/>
    <col min="10" max="10" width="46.28515625" customWidth="1"/>
    <col min="11" max="11" width="8" customWidth="1"/>
  </cols>
  <sheetData>
    <row r="1" spans="1:7" x14ac:dyDescent="0.25">
      <c r="A1" s="113" t="s">
        <v>3</v>
      </c>
      <c r="B1" s="60" t="s">
        <v>90</v>
      </c>
      <c r="E1" t="s">
        <v>444</v>
      </c>
      <c r="F1" s="116">
        <v>30</v>
      </c>
      <c r="G1" s="61" t="s">
        <v>445</v>
      </c>
    </row>
    <row r="3" spans="1:7" x14ac:dyDescent="0.25">
      <c r="A3" s="129" t="s">
        <v>397</v>
      </c>
      <c r="B3" s="86"/>
    </row>
    <row r="4" spans="1:7" x14ac:dyDescent="0.25">
      <c r="A4" s="86"/>
      <c r="B4" s="86"/>
    </row>
    <row r="5" spans="1:7" x14ac:dyDescent="0.25">
      <c r="A5" s="86" t="s">
        <v>161</v>
      </c>
      <c r="B5" s="118">
        <f>165</f>
        <v>165</v>
      </c>
      <c r="C5" s="22" t="s">
        <v>411</v>
      </c>
    </row>
    <row r="6" spans="1:7" x14ac:dyDescent="0.25">
      <c r="A6" s="86"/>
      <c r="B6" s="86"/>
    </row>
    <row r="7" spans="1:7" x14ac:dyDescent="0.25">
      <c r="A7" s="16" t="s">
        <v>177</v>
      </c>
      <c r="B7" s="16"/>
      <c r="E7" s="114">
        <v>0.05</v>
      </c>
      <c r="F7" s="114">
        <v>0.04</v>
      </c>
      <c r="G7" s="114">
        <v>0.01</v>
      </c>
    </row>
    <row r="8" spans="1:7" x14ac:dyDescent="0.25">
      <c r="F8"/>
      <c r="G8"/>
    </row>
    <row r="9" spans="1:7" x14ac:dyDescent="0.25">
      <c r="A9" s="5" t="s">
        <v>397</v>
      </c>
      <c r="B9" s="119" t="s">
        <v>90</v>
      </c>
      <c r="C9" s="92" t="s">
        <v>114</v>
      </c>
      <c r="D9" s="92" t="s">
        <v>161</v>
      </c>
      <c r="E9" s="117" t="s">
        <v>421</v>
      </c>
      <c r="F9" s="117" t="s">
        <v>121</v>
      </c>
      <c r="G9" s="117" t="s">
        <v>122</v>
      </c>
    </row>
    <row r="10" spans="1:7" x14ac:dyDescent="0.25">
      <c r="A10" s="128" t="s">
        <v>160</v>
      </c>
      <c r="B10" s="109">
        <v>0</v>
      </c>
      <c r="C10" s="115">
        <v>100</v>
      </c>
      <c r="D10" s="110">
        <f>B5</f>
        <v>165</v>
      </c>
      <c r="E10" s="112">
        <f>$D10*(100%-$E$7)</f>
        <v>156.75</v>
      </c>
      <c r="F10" s="112">
        <f>D10*(100%-$F$7)</f>
        <v>158.4</v>
      </c>
      <c r="G10" s="112">
        <f>D10*(100%-$G$7)</f>
        <v>163.35</v>
      </c>
    </row>
    <row r="11" spans="1:7" x14ac:dyDescent="0.25">
      <c r="A11" s="128"/>
      <c r="B11" s="109">
        <v>0.01</v>
      </c>
      <c r="C11" s="115">
        <v>199</v>
      </c>
      <c r="D11" s="112">
        <f t="shared" ref="D11:D17" si="0">$B$5*(100%-$B11)</f>
        <v>163.35</v>
      </c>
      <c r="E11" s="112">
        <f t="shared" ref="E11:E16" si="1">$D11*(100%-$E$7)</f>
        <v>155.18249999999998</v>
      </c>
      <c r="F11" s="112">
        <f t="shared" ref="F11:F17" si="2">D11*(100%-$F$7)</f>
        <v>156.816</v>
      </c>
      <c r="G11" s="112">
        <f t="shared" ref="G11:G17" si="3">D11*(100%-$G$7)</f>
        <v>161.7165</v>
      </c>
    </row>
    <row r="12" spans="1:7" x14ac:dyDescent="0.25">
      <c r="A12" s="128"/>
      <c r="B12" s="111">
        <f>B11+1%</f>
        <v>0.02</v>
      </c>
      <c r="C12" s="115">
        <v>200</v>
      </c>
      <c r="D12" s="112">
        <f t="shared" si="0"/>
        <v>161.69999999999999</v>
      </c>
      <c r="E12" s="112">
        <f t="shared" si="1"/>
        <v>153.61499999999998</v>
      </c>
      <c r="F12" s="112">
        <f t="shared" si="2"/>
        <v>155.23199999999997</v>
      </c>
      <c r="G12" s="112">
        <f t="shared" si="3"/>
        <v>160.083</v>
      </c>
    </row>
    <row r="13" spans="1:7" x14ac:dyDescent="0.25">
      <c r="A13" s="128"/>
      <c r="B13" s="111">
        <f t="shared" ref="B13:B17" si="4">B12+1%</f>
        <v>0.03</v>
      </c>
      <c r="C13" s="115">
        <v>299</v>
      </c>
      <c r="D13" s="112">
        <f t="shared" si="0"/>
        <v>160.04999999999998</v>
      </c>
      <c r="E13" s="112">
        <f t="shared" si="1"/>
        <v>152.04749999999999</v>
      </c>
      <c r="F13" s="112">
        <f t="shared" si="2"/>
        <v>153.64799999999997</v>
      </c>
      <c r="G13" s="112">
        <f t="shared" si="3"/>
        <v>158.44949999999997</v>
      </c>
    </row>
    <row r="14" spans="1:7" x14ac:dyDescent="0.25">
      <c r="A14" s="128"/>
      <c r="B14" s="111">
        <f t="shared" si="4"/>
        <v>0.04</v>
      </c>
      <c r="C14" s="115">
        <v>300</v>
      </c>
      <c r="D14" s="112">
        <f t="shared" si="0"/>
        <v>158.4</v>
      </c>
      <c r="E14" s="112">
        <f t="shared" si="1"/>
        <v>150.47999999999999</v>
      </c>
      <c r="F14" s="112">
        <f t="shared" si="2"/>
        <v>152.06399999999999</v>
      </c>
      <c r="G14" s="112">
        <f t="shared" si="3"/>
        <v>156.816</v>
      </c>
    </row>
    <row r="15" spans="1:7" x14ac:dyDescent="0.25">
      <c r="A15" s="128"/>
      <c r="B15" s="111">
        <f t="shared" si="4"/>
        <v>0.05</v>
      </c>
      <c r="C15" s="115">
        <v>399</v>
      </c>
      <c r="D15" s="112">
        <f t="shared" si="0"/>
        <v>156.75</v>
      </c>
      <c r="E15" s="112">
        <f t="shared" si="1"/>
        <v>148.91249999999999</v>
      </c>
      <c r="F15" s="112">
        <f t="shared" si="2"/>
        <v>150.47999999999999</v>
      </c>
      <c r="G15" s="112">
        <f t="shared" si="3"/>
        <v>155.1825</v>
      </c>
    </row>
    <row r="16" spans="1:7" x14ac:dyDescent="0.25">
      <c r="A16" s="128"/>
      <c r="B16" s="111">
        <f t="shared" si="4"/>
        <v>6.0000000000000005E-2</v>
      </c>
      <c r="C16" s="115">
        <v>400</v>
      </c>
      <c r="D16" s="112">
        <f t="shared" si="0"/>
        <v>155.1</v>
      </c>
      <c r="E16" s="112">
        <f t="shared" si="1"/>
        <v>147.345</v>
      </c>
      <c r="F16" s="112">
        <f t="shared" si="2"/>
        <v>148.89599999999999</v>
      </c>
      <c r="G16" s="112">
        <f t="shared" si="3"/>
        <v>153.54900000000001</v>
      </c>
    </row>
    <row r="17" spans="1:7" x14ac:dyDescent="0.25">
      <c r="A17" s="128"/>
      <c r="B17" s="111">
        <f t="shared" si="4"/>
        <v>7.0000000000000007E-2</v>
      </c>
      <c r="C17" s="115">
        <v>499</v>
      </c>
      <c r="D17" s="112">
        <f t="shared" si="0"/>
        <v>153.44999999999999</v>
      </c>
      <c r="E17" s="112">
        <f>$D17*(100%-$E$7)</f>
        <v>145.77749999999997</v>
      </c>
      <c r="F17" s="112">
        <f t="shared" si="2"/>
        <v>147.31199999999998</v>
      </c>
      <c r="G17" s="112">
        <f t="shared" si="3"/>
        <v>151.91549999999998</v>
      </c>
    </row>
  </sheetData>
  <mergeCells count="1">
    <mergeCell ref="A10:A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D6BA-04EE-4AF1-8CBA-B3A0D6127074}">
  <sheetPr>
    <tabColor theme="7" tint="0.59999389629810485"/>
  </sheetPr>
  <dimension ref="A1:E5"/>
  <sheetViews>
    <sheetView workbookViewId="0">
      <selection activeCell="B3" sqref="B3"/>
    </sheetView>
  </sheetViews>
  <sheetFormatPr defaultRowHeight="15" x14ac:dyDescent="0.25"/>
  <sheetData>
    <row r="1" spans="1:5" x14ac:dyDescent="0.25">
      <c r="A1" t="s">
        <v>160</v>
      </c>
      <c r="B1" t="s">
        <v>333</v>
      </c>
      <c r="C1" t="s">
        <v>334</v>
      </c>
      <c r="D1" t="s">
        <v>335</v>
      </c>
      <c r="E1" t="s">
        <v>336</v>
      </c>
    </row>
    <row r="2" spans="1:5" x14ac:dyDescent="0.25">
      <c r="A2">
        <v>100</v>
      </c>
      <c r="B2" s="15">
        <v>0.05</v>
      </c>
      <c r="C2" s="15">
        <v>0.05</v>
      </c>
      <c r="D2" s="15">
        <v>0.05</v>
      </c>
      <c r="E2" s="15">
        <v>0.05</v>
      </c>
    </row>
    <row r="3" spans="1:5" x14ac:dyDescent="0.25">
      <c r="A3">
        <v>200</v>
      </c>
    </row>
    <row r="4" spans="1:5" x14ac:dyDescent="0.25">
      <c r="A4">
        <v>300</v>
      </c>
    </row>
    <row r="5" spans="1:5" x14ac:dyDescent="0.25">
      <c r="A5">
        <v>400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54E4-5F4E-4285-BDBC-F2A0A037F4D5}">
  <sheetPr>
    <tabColor theme="7" tint="0.59999389629810485"/>
  </sheetPr>
  <dimension ref="A1:P11"/>
  <sheetViews>
    <sheetView workbookViewId="0">
      <selection activeCell="J35" sqref="J35"/>
    </sheetView>
  </sheetViews>
  <sheetFormatPr defaultRowHeight="15" x14ac:dyDescent="0.25"/>
  <cols>
    <col min="1" max="1" width="34.5703125" customWidth="1"/>
    <col min="2" max="2" width="12.28515625" customWidth="1"/>
    <col min="3" max="3" width="8.140625" customWidth="1"/>
    <col min="4" max="8" width="10.140625" customWidth="1"/>
    <col min="9" max="9" width="11.85546875" bestFit="1" customWidth="1"/>
    <col min="10" max="13" width="19.7109375" customWidth="1"/>
    <col min="14" max="14" width="14.85546875" customWidth="1"/>
    <col min="15" max="15" width="16.5703125" customWidth="1"/>
  </cols>
  <sheetData>
    <row r="1" spans="1:16" x14ac:dyDescent="0.25">
      <c r="A1" s="7" t="s">
        <v>319</v>
      </c>
      <c r="C1" s="7"/>
      <c r="J1" s="15">
        <v>0.05</v>
      </c>
      <c r="K1" s="15">
        <v>0.1</v>
      </c>
      <c r="L1" s="15">
        <v>0.1</v>
      </c>
    </row>
    <row r="2" spans="1:16" x14ac:dyDescent="0.25">
      <c r="A2" s="7"/>
      <c r="C2" s="7"/>
      <c r="J2" s="15"/>
      <c r="K2" s="15"/>
      <c r="L2" s="15"/>
    </row>
    <row r="3" spans="1:16" x14ac:dyDescent="0.25">
      <c r="A3" t="s">
        <v>1</v>
      </c>
      <c r="B3" t="s">
        <v>268</v>
      </c>
      <c r="C3" t="s">
        <v>254</v>
      </c>
      <c r="D3" t="s">
        <v>266</v>
      </c>
      <c r="E3" t="s">
        <v>267</v>
      </c>
      <c r="F3" t="s">
        <v>304</v>
      </c>
      <c r="G3" t="s">
        <v>305</v>
      </c>
      <c r="H3" t="s">
        <v>317</v>
      </c>
      <c r="I3" s="22" t="s">
        <v>179</v>
      </c>
      <c r="J3" s="22" t="s">
        <v>318</v>
      </c>
      <c r="K3" t="s">
        <v>192</v>
      </c>
      <c r="L3" t="s">
        <v>248</v>
      </c>
      <c r="M3" t="s">
        <v>184</v>
      </c>
      <c r="O3" t="s">
        <v>269</v>
      </c>
    </row>
    <row r="5" spans="1:16" x14ac:dyDescent="0.25">
      <c r="A5" s="21" t="s">
        <v>40</v>
      </c>
      <c r="C5" s="21"/>
    </row>
    <row r="6" spans="1:16" x14ac:dyDescent="0.25">
      <c r="A6" t="s">
        <v>320</v>
      </c>
      <c r="B6" t="s">
        <v>316</v>
      </c>
      <c r="C6" t="s">
        <v>317</v>
      </c>
      <c r="D6" s="17">
        <v>0.6</v>
      </c>
      <c r="E6" s="17">
        <v>0.6</v>
      </c>
      <c r="F6" s="17">
        <v>0</v>
      </c>
      <c r="G6" s="17">
        <v>0</v>
      </c>
      <c r="H6" s="17">
        <v>0</v>
      </c>
      <c r="I6" s="6">
        <v>300</v>
      </c>
      <c r="J6" s="6">
        <f>ROUND(I6*$J$1,2)</f>
        <v>15</v>
      </c>
      <c r="K6" s="6">
        <f>(I6+J6)*(100%-$K$1)</f>
        <v>283.5</v>
      </c>
      <c r="L6" s="6">
        <f>ROUND(SUM(K6)*$L$1,2)</f>
        <v>28.35</v>
      </c>
      <c r="M6" s="6">
        <f>ROUND(SUM(K6:L6),2)</f>
        <v>311.85000000000002</v>
      </c>
      <c r="O6">
        <f>D6*E6</f>
        <v>0.36</v>
      </c>
      <c r="P6" t="s">
        <v>112</v>
      </c>
    </row>
    <row r="7" spans="1:16" x14ac:dyDescent="0.25">
      <c r="A7" t="s">
        <v>321</v>
      </c>
      <c r="B7" t="s">
        <v>316</v>
      </c>
      <c r="C7" t="s">
        <v>317</v>
      </c>
      <c r="D7" s="17">
        <v>0.6</v>
      </c>
      <c r="E7" s="17">
        <v>0.6</v>
      </c>
      <c r="F7" s="17">
        <v>0</v>
      </c>
      <c r="G7" s="17">
        <v>0</v>
      </c>
      <c r="H7" s="17">
        <v>0</v>
      </c>
      <c r="I7" s="6">
        <v>300</v>
      </c>
      <c r="J7" s="6">
        <f>ROUND(I7*$J$1,2)</f>
        <v>15</v>
      </c>
      <c r="K7" s="6">
        <f>(I7+J7)*(100%-$K$1)</f>
        <v>283.5</v>
      </c>
      <c r="L7" s="6">
        <f>ROUND(SUM(K7)*$L$1,2)</f>
        <v>28.35</v>
      </c>
      <c r="M7" s="6">
        <f>ROUND(SUM(K7:L7),2)</f>
        <v>311.85000000000002</v>
      </c>
      <c r="O7">
        <f>D7*E7</f>
        <v>0.36</v>
      </c>
      <c r="P7" t="s">
        <v>112</v>
      </c>
    </row>
    <row r="8" spans="1:16" x14ac:dyDescent="0.25">
      <c r="A8" t="s">
        <v>322</v>
      </c>
      <c r="B8" t="s">
        <v>323</v>
      </c>
      <c r="C8" t="s">
        <v>317</v>
      </c>
      <c r="D8" s="17">
        <v>0</v>
      </c>
      <c r="E8" s="17">
        <v>0</v>
      </c>
      <c r="F8" s="17">
        <v>0</v>
      </c>
      <c r="G8" s="17">
        <v>0</v>
      </c>
      <c r="H8" s="17">
        <v>1</v>
      </c>
      <c r="I8" s="6">
        <v>300</v>
      </c>
      <c r="J8" s="6">
        <f>ROUND(I8*$J$1,2)</f>
        <v>15</v>
      </c>
      <c r="K8" s="6">
        <f>(I8+J8)*(100%-$K$1)</f>
        <v>283.5</v>
      </c>
      <c r="L8" s="6">
        <f>ROUND(SUM(K8)*$L$1,2)</f>
        <v>28.35</v>
      </c>
      <c r="M8" s="6">
        <f>ROUND(SUM(K8:L8),2)</f>
        <v>311.85000000000002</v>
      </c>
      <c r="O8" s="25">
        <f>H8/0.36</f>
        <v>2.7777777777777777</v>
      </c>
      <c r="P8" t="s">
        <v>112</v>
      </c>
    </row>
    <row r="9" spans="1:16" x14ac:dyDescent="0.25">
      <c r="A9" t="s">
        <v>324</v>
      </c>
    </row>
    <row r="10" spans="1:16" x14ac:dyDescent="0.25">
      <c r="A10" t="s">
        <v>325</v>
      </c>
    </row>
    <row r="11" spans="1:16" x14ac:dyDescent="0.25">
      <c r="A11" t="s">
        <v>199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DDC2-E720-488B-9415-7250C7EC5259}">
  <sheetPr>
    <tabColor theme="7" tint="0.59999389629810485"/>
  </sheetPr>
  <dimension ref="A1:G58"/>
  <sheetViews>
    <sheetView topLeftCell="A34" workbookViewId="0">
      <selection activeCell="A36" sqref="A36:B43"/>
    </sheetView>
  </sheetViews>
  <sheetFormatPr defaultRowHeight="15" x14ac:dyDescent="0.25"/>
  <cols>
    <col min="1" max="1" width="26.42578125" customWidth="1"/>
    <col min="2" max="2" width="26.5703125" customWidth="1"/>
  </cols>
  <sheetData>
    <row r="1" spans="1:7" x14ac:dyDescent="0.25">
      <c r="A1" s="7" t="s">
        <v>284</v>
      </c>
    </row>
    <row r="2" spans="1:7" x14ac:dyDescent="0.25">
      <c r="A2" t="s">
        <v>154</v>
      </c>
      <c r="B2" t="s">
        <v>285</v>
      </c>
    </row>
    <row r="3" spans="1:7" x14ac:dyDescent="0.25">
      <c r="A3" t="s">
        <v>285</v>
      </c>
      <c r="B3" t="s">
        <v>286</v>
      </c>
    </row>
    <row r="4" spans="1:7" x14ac:dyDescent="0.25">
      <c r="A4" t="s">
        <v>286</v>
      </c>
      <c r="B4" t="s">
        <v>287</v>
      </c>
    </row>
    <row r="5" spans="1:7" x14ac:dyDescent="0.25">
      <c r="A5" t="s">
        <v>350</v>
      </c>
      <c r="B5" t="s">
        <v>285</v>
      </c>
    </row>
    <row r="6" spans="1:7" x14ac:dyDescent="0.25">
      <c r="A6" t="s">
        <v>285</v>
      </c>
      <c r="B6" t="s">
        <v>351</v>
      </c>
    </row>
    <row r="7" spans="1:7" x14ac:dyDescent="0.25">
      <c r="A7" t="s">
        <v>287</v>
      </c>
      <c r="B7" t="s">
        <v>351</v>
      </c>
    </row>
    <row r="8" spans="1:7" x14ac:dyDescent="0.25">
      <c r="A8" t="s">
        <v>349</v>
      </c>
      <c r="B8" t="s">
        <v>343</v>
      </c>
      <c r="C8" t="s">
        <v>344</v>
      </c>
      <c r="D8" t="s">
        <v>345</v>
      </c>
      <c r="E8" t="s">
        <v>348</v>
      </c>
      <c r="F8" t="s">
        <v>346</v>
      </c>
      <c r="G8" t="s">
        <v>347</v>
      </c>
    </row>
    <row r="13" spans="1:7" x14ac:dyDescent="0.25">
      <c r="A13" s="7" t="s">
        <v>288</v>
      </c>
      <c r="B13" s="16" t="s">
        <v>303</v>
      </c>
    </row>
    <row r="14" spans="1:7" x14ac:dyDescent="0.25">
      <c r="A14" t="s">
        <v>289</v>
      </c>
    </row>
    <row r="15" spans="1:7" x14ac:dyDescent="0.25">
      <c r="A15" t="s">
        <v>302</v>
      </c>
    </row>
    <row r="18" spans="1:3" x14ac:dyDescent="0.25">
      <c r="A18" s="7" t="s">
        <v>291</v>
      </c>
      <c r="B18" s="16" t="s">
        <v>295</v>
      </c>
    </row>
    <row r="19" spans="1:3" x14ac:dyDescent="0.25">
      <c r="A19" t="s">
        <v>292</v>
      </c>
    </row>
    <row r="20" spans="1:3" x14ac:dyDescent="0.25">
      <c r="A20" t="s">
        <v>290</v>
      </c>
    </row>
    <row r="23" spans="1:3" x14ac:dyDescent="0.25">
      <c r="A23" s="7" t="s">
        <v>327</v>
      </c>
      <c r="B23" s="16" t="s">
        <v>330</v>
      </c>
    </row>
    <row r="24" spans="1:3" x14ac:dyDescent="0.25">
      <c r="A24" t="s">
        <v>328</v>
      </c>
      <c r="C24" t="s">
        <v>337</v>
      </c>
    </row>
    <row r="25" spans="1:3" x14ac:dyDescent="0.25">
      <c r="A25" t="s">
        <v>329</v>
      </c>
    </row>
    <row r="28" spans="1:3" x14ac:dyDescent="0.25">
      <c r="A28" s="7" t="s">
        <v>164</v>
      </c>
    </row>
    <row r="29" spans="1:3" x14ac:dyDescent="0.25">
      <c r="A29" t="s">
        <v>165</v>
      </c>
      <c r="B29" t="s">
        <v>308</v>
      </c>
    </row>
    <row r="30" spans="1:3" x14ac:dyDescent="0.25">
      <c r="A30" t="s">
        <v>166</v>
      </c>
    </row>
    <row r="31" spans="1:3" x14ac:dyDescent="0.25">
      <c r="A31" t="s">
        <v>167</v>
      </c>
    </row>
    <row r="32" spans="1:3" x14ac:dyDescent="0.25">
      <c r="A32" t="s">
        <v>168</v>
      </c>
    </row>
    <row r="35" spans="1:2" x14ac:dyDescent="0.25">
      <c r="A35" s="7" t="s">
        <v>296</v>
      </c>
      <c r="B35" t="s">
        <v>309</v>
      </c>
    </row>
    <row r="36" spans="1:2" x14ac:dyDescent="0.25">
      <c r="A36" t="s">
        <v>148</v>
      </c>
    </row>
    <row r="37" spans="1:2" x14ac:dyDescent="0.25">
      <c r="A37" t="s">
        <v>297</v>
      </c>
    </row>
    <row r="38" spans="1:2" x14ac:dyDescent="0.25">
      <c r="A38" t="s">
        <v>171</v>
      </c>
    </row>
    <row r="39" spans="1:2" x14ac:dyDescent="0.25">
      <c r="A39" t="s">
        <v>147</v>
      </c>
    </row>
    <row r="40" spans="1:2" x14ac:dyDescent="0.25">
      <c r="A40" t="s">
        <v>298</v>
      </c>
    </row>
    <row r="41" spans="1:2" x14ac:dyDescent="0.25">
      <c r="A41" t="s">
        <v>299</v>
      </c>
    </row>
    <row r="42" spans="1:2" x14ac:dyDescent="0.25">
      <c r="A42" t="s">
        <v>300</v>
      </c>
    </row>
    <row r="43" spans="1:2" x14ac:dyDescent="0.25">
      <c r="A43" t="s">
        <v>301</v>
      </c>
    </row>
    <row r="46" spans="1:2" x14ac:dyDescent="0.25">
      <c r="A46" t="s">
        <v>310</v>
      </c>
    </row>
    <row r="47" spans="1:2" x14ac:dyDescent="0.25">
      <c r="A47" t="s">
        <v>293</v>
      </c>
      <c r="B47" t="s">
        <v>331</v>
      </c>
    </row>
    <row r="48" spans="1:2" x14ac:dyDescent="0.25">
      <c r="A48" t="s">
        <v>294</v>
      </c>
    </row>
    <row r="51" spans="1:2" x14ac:dyDescent="0.25">
      <c r="A51" t="s">
        <v>280</v>
      </c>
      <c r="B51" t="s">
        <v>279</v>
      </c>
    </row>
    <row r="52" spans="1:2" x14ac:dyDescent="0.25">
      <c r="A52" t="s">
        <v>281</v>
      </c>
    </row>
    <row r="53" spans="1:2" x14ac:dyDescent="0.25">
      <c r="A53" t="s">
        <v>282</v>
      </c>
    </row>
    <row r="54" spans="1:2" x14ac:dyDescent="0.25">
      <c r="A54" t="s">
        <v>283</v>
      </c>
    </row>
    <row r="57" spans="1:2" x14ac:dyDescent="0.25">
      <c r="A57" s="7" t="s">
        <v>165</v>
      </c>
    </row>
    <row r="58" spans="1:2" x14ac:dyDescent="0.25">
      <c r="A58" t="s">
        <v>352</v>
      </c>
      <c r="B58" t="s">
        <v>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BE8A-0425-4708-B02B-466E1060E760}">
  <sheetPr>
    <tabColor theme="7" tint="0.59999389629810485"/>
  </sheetPr>
  <dimension ref="A1:B28"/>
  <sheetViews>
    <sheetView workbookViewId="0">
      <selection activeCell="H36" sqref="H36"/>
    </sheetView>
  </sheetViews>
  <sheetFormatPr defaultRowHeight="15" x14ac:dyDescent="0.25"/>
  <cols>
    <col min="2" max="2" width="44" customWidth="1"/>
  </cols>
  <sheetData>
    <row r="1" spans="1:2" x14ac:dyDescent="0.25">
      <c r="B1" s="7" t="s">
        <v>193</v>
      </c>
    </row>
    <row r="2" spans="1:2" x14ac:dyDescent="0.25">
      <c r="A2" s="22" t="s">
        <v>220</v>
      </c>
      <c r="B2" t="s">
        <v>194</v>
      </c>
    </row>
    <row r="3" spans="1:2" x14ac:dyDescent="0.25">
      <c r="A3" s="22" t="s">
        <v>222</v>
      </c>
      <c r="B3" t="s">
        <v>195</v>
      </c>
    </row>
    <row r="4" spans="1:2" x14ac:dyDescent="0.25">
      <c r="A4" s="22" t="s">
        <v>223</v>
      </c>
      <c r="B4" t="s">
        <v>196</v>
      </c>
    </row>
    <row r="5" spans="1:2" x14ac:dyDescent="0.25">
      <c r="A5" s="22" t="s">
        <v>224</v>
      </c>
      <c r="B5" t="s">
        <v>197</v>
      </c>
    </row>
    <row r="6" spans="1:2" x14ac:dyDescent="0.25">
      <c r="A6" s="22" t="s">
        <v>225</v>
      </c>
      <c r="B6" t="s">
        <v>198</v>
      </c>
    </row>
    <row r="7" spans="1:2" x14ac:dyDescent="0.25">
      <c r="A7" s="22" t="s">
        <v>226</v>
      </c>
      <c r="B7" t="s">
        <v>199</v>
      </c>
    </row>
    <row r="8" spans="1:2" x14ac:dyDescent="0.25">
      <c r="A8" s="22" t="s">
        <v>227</v>
      </c>
      <c r="B8" s="7" t="s">
        <v>200</v>
      </c>
    </row>
    <row r="9" spans="1:2" x14ac:dyDescent="0.25">
      <c r="A9" s="22" t="s">
        <v>228</v>
      </c>
      <c r="B9" t="s">
        <v>201</v>
      </c>
    </row>
    <row r="10" spans="1:2" x14ac:dyDescent="0.25">
      <c r="A10" s="22" t="s">
        <v>229</v>
      </c>
      <c r="B10" t="s">
        <v>202</v>
      </c>
    </row>
    <row r="11" spans="1:2" x14ac:dyDescent="0.25">
      <c r="A11" s="22" t="s">
        <v>230</v>
      </c>
      <c r="B11" t="s">
        <v>203</v>
      </c>
    </row>
    <row r="12" spans="1:2" x14ac:dyDescent="0.25">
      <c r="A12" s="22" t="s">
        <v>231</v>
      </c>
      <c r="B12" s="7" t="s">
        <v>204</v>
      </c>
    </row>
    <row r="13" spans="1:2" x14ac:dyDescent="0.25">
      <c r="A13" s="22" t="s">
        <v>221</v>
      </c>
      <c r="B13" t="s">
        <v>205</v>
      </c>
    </row>
    <row r="14" spans="1:2" x14ac:dyDescent="0.25">
      <c r="A14" s="22" t="s">
        <v>232</v>
      </c>
      <c r="B14" t="s">
        <v>206</v>
      </c>
    </row>
    <row r="15" spans="1:2" x14ac:dyDescent="0.25">
      <c r="A15" s="22" t="s">
        <v>233</v>
      </c>
      <c r="B15" s="7" t="s">
        <v>207</v>
      </c>
    </row>
    <row r="16" spans="1:2" x14ac:dyDescent="0.25">
      <c r="A16" s="22" t="s">
        <v>234</v>
      </c>
      <c r="B16" t="s">
        <v>208</v>
      </c>
    </row>
    <row r="17" spans="1:2" x14ac:dyDescent="0.25">
      <c r="A17" s="22" t="s">
        <v>235</v>
      </c>
      <c r="B17" t="s">
        <v>209</v>
      </c>
    </row>
    <row r="18" spans="1:2" x14ac:dyDescent="0.25">
      <c r="A18" s="22" t="s">
        <v>236</v>
      </c>
      <c r="B18" s="7" t="s">
        <v>210</v>
      </c>
    </row>
    <row r="19" spans="1:2" x14ac:dyDescent="0.25">
      <c r="A19" s="22" t="s">
        <v>237</v>
      </c>
      <c r="B19" t="s">
        <v>211</v>
      </c>
    </row>
    <row r="20" spans="1:2" x14ac:dyDescent="0.25">
      <c r="A20" s="22" t="s">
        <v>238</v>
      </c>
      <c r="B20" s="7" t="s">
        <v>212</v>
      </c>
    </row>
    <row r="21" spans="1:2" x14ac:dyDescent="0.25">
      <c r="A21" s="22" t="s">
        <v>239</v>
      </c>
      <c r="B21" t="s">
        <v>213</v>
      </c>
    </row>
    <row r="22" spans="1:2" x14ac:dyDescent="0.25">
      <c r="A22" s="22" t="s">
        <v>240</v>
      </c>
      <c r="B22" t="s">
        <v>214</v>
      </c>
    </row>
    <row r="23" spans="1:2" x14ac:dyDescent="0.25">
      <c r="A23" s="22" t="s">
        <v>241</v>
      </c>
      <c r="B23" s="7" t="s">
        <v>190</v>
      </c>
    </row>
    <row r="24" spans="1:2" x14ac:dyDescent="0.25">
      <c r="A24" s="22" t="s">
        <v>242</v>
      </c>
      <c r="B24" t="s">
        <v>215</v>
      </c>
    </row>
    <row r="25" spans="1:2" x14ac:dyDescent="0.25">
      <c r="A25" s="22" t="s">
        <v>243</v>
      </c>
      <c r="B25" s="7" t="s">
        <v>216</v>
      </c>
    </row>
    <row r="26" spans="1:2" x14ac:dyDescent="0.25">
      <c r="A26" s="22" t="s">
        <v>244</v>
      </c>
      <c r="B26" t="s">
        <v>217</v>
      </c>
    </row>
    <row r="27" spans="1:2" x14ac:dyDescent="0.25">
      <c r="A27" s="22" t="s">
        <v>245</v>
      </c>
      <c r="B27" t="s">
        <v>218</v>
      </c>
    </row>
    <row r="28" spans="1:2" x14ac:dyDescent="0.25">
      <c r="A28" s="22" t="s">
        <v>246</v>
      </c>
      <c r="B28" t="s">
        <v>219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process</vt:lpstr>
      <vt:lpstr>Sheet2</vt:lpstr>
      <vt:lpstr>DIY</vt:lpstr>
      <vt:lpstr>Sheet1</vt:lpstr>
      <vt:lpstr>Look &amp; Feel - Suby</vt:lpstr>
      <vt:lpstr>Look &amp; Feel - Main Page</vt:lpstr>
      <vt:lpstr>Supplier List</vt:lpstr>
      <vt:lpstr>Trades</vt:lpstr>
      <vt:lpstr>Suppliers</vt:lpstr>
      <vt:lpstr>Estimating Platform</vt:lpstr>
      <vt:lpstr>Feasibility</vt:lpstr>
      <vt:lpstr>Brickwork</vt:lpstr>
      <vt:lpstr>Sub-Contractor</vt:lpstr>
      <vt:lpstr>Sub Contractor Labour</vt:lpstr>
      <vt:lpstr>Supplier - Saint Gobain</vt:lpstr>
      <vt:lpstr>Back End Suby </vt:lpstr>
      <vt:lpstr>Back End Supplier</vt:lpstr>
      <vt:lpstr>Sheet3</vt:lpstr>
      <vt:lpstr>Supplier - KBAC</vt:lpstr>
      <vt:lpstr>Function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Irshad</dc:creator>
  <cp:lastModifiedBy>Ahmed, Irshad</cp:lastModifiedBy>
  <dcterms:created xsi:type="dcterms:W3CDTF">2023-07-14T12:38:13Z</dcterms:created>
  <dcterms:modified xsi:type="dcterms:W3CDTF">2026-05-06T10:25:59Z</dcterms:modified>
</cp:coreProperties>
</file>